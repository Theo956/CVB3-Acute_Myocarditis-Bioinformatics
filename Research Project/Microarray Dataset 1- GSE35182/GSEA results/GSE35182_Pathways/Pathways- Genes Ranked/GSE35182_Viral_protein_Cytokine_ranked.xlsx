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414e28dbb05754/Desktop/Research Project/Microarray Dataset 1/GSEA results/Pathways/Pathways Ranked/"/>
    </mc:Choice>
  </mc:AlternateContent>
  <xr:revisionPtr revIDLastSave="0" documentId="8_{39645E7F-379E-4C67-AFD6-4A654C3AC81B}" xr6:coauthVersionLast="47" xr6:coauthVersionMax="47" xr10:uidLastSave="{00000000-0000-0000-0000-000000000000}"/>
  <bookViews>
    <workbookView xWindow="-108" yWindow="-108" windowWidth="23256" windowHeight="14616" xr2:uid="{D10EE338-A9F2-4E82-87AA-19522F9F6CF3}"/>
  </bookViews>
  <sheets>
    <sheet name="Viral_protein_interaction_with_" sheetId="2" r:id="rId1"/>
    <sheet name="DEG" sheetId="1" r:id="rId2"/>
    <sheet name="Signifiacant" sheetId="3" r:id="rId3"/>
  </sheets>
  <definedNames>
    <definedName name="_xlnm._FilterDatabase" localSheetId="2" hidden="1">Signifiacant!$P$1:$P$16</definedName>
    <definedName name="_xlnm._FilterDatabase" localSheetId="0" hidden="1">Viral_protein_interaction_with_!$A$1:$Q$80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2" l="1"/>
  <c r="P2" i="2"/>
  <c r="P3" i="2"/>
  <c r="Q3" i="2"/>
  <c r="P4" i="2"/>
  <c r="Q4" i="2"/>
  <c r="P5" i="2"/>
  <c r="Q5" i="2"/>
  <c r="P6" i="2"/>
  <c r="Q6" i="2"/>
  <c r="P7" i="2"/>
  <c r="Q7" i="2"/>
  <c r="P8" i="2"/>
  <c r="Q8" i="2"/>
  <c r="P9" i="2"/>
  <c r="Q9" i="2"/>
  <c r="P10" i="2"/>
  <c r="Q10" i="2"/>
  <c r="P11" i="2"/>
  <c r="Q11" i="2"/>
  <c r="P12" i="2"/>
  <c r="Q12" i="2"/>
  <c r="P13" i="2"/>
  <c r="Q13" i="2"/>
  <c r="P14" i="2"/>
  <c r="Q14" i="2"/>
  <c r="P15" i="2"/>
  <c r="Q15" i="2"/>
  <c r="P16" i="2"/>
  <c r="Q16" i="2"/>
  <c r="P17" i="2"/>
  <c r="Q17" i="2"/>
  <c r="P18" i="2"/>
  <c r="Q18" i="2"/>
  <c r="P19" i="2"/>
  <c r="Q19" i="2"/>
  <c r="P20" i="2"/>
  <c r="Q20" i="2"/>
  <c r="P21" i="2"/>
  <c r="Q21" i="2"/>
  <c r="P22" i="2"/>
  <c r="Q22" i="2"/>
  <c r="P23" i="2"/>
  <c r="Q23" i="2"/>
  <c r="P24" i="2"/>
  <c r="Q24" i="2"/>
  <c r="P25" i="2"/>
  <c r="Q25" i="2"/>
  <c r="P26" i="2"/>
  <c r="Q26" i="2"/>
  <c r="P27" i="2"/>
  <c r="Q27" i="2"/>
  <c r="P28" i="2"/>
  <c r="Q28" i="2"/>
  <c r="P29" i="2"/>
  <c r="Q29" i="2"/>
  <c r="P30" i="2"/>
  <c r="Q30" i="2"/>
  <c r="P31" i="2"/>
  <c r="Q31" i="2"/>
  <c r="P32" i="2"/>
  <c r="Q32" i="2"/>
  <c r="P33" i="2"/>
  <c r="Q33" i="2"/>
  <c r="P34" i="2"/>
  <c r="Q34" i="2"/>
  <c r="P35" i="2"/>
  <c r="Q35" i="2"/>
  <c r="P36" i="2"/>
  <c r="Q36" i="2"/>
  <c r="P37" i="2"/>
  <c r="Q37" i="2"/>
  <c r="P38" i="2"/>
  <c r="Q38" i="2"/>
  <c r="P39" i="2"/>
  <c r="Q39" i="2"/>
  <c r="P40" i="2"/>
  <c r="Q40" i="2"/>
  <c r="P41" i="2"/>
  <c r="Q41" i="2"/>
  <c r="P42" i="2"/>
  <c r="Q42" i="2"/>
  <c r="P43" i="2"/>
  <c r="Q43" i="2"/>
  <c r="P44" i="2"/>
  <c r="Q44" i="2"/>
  <c r="P45" i="2"/>
  <c r="Q45" i="2"/>
  <c r="P46" i="2"/>
  <c r="Q46" i="2"/>
  <c r="P47" i="2"/>
  <c r="Q47" i="2"/>
  <c r="P48" i="2"/>
  <c r="Q48" i="2"/>
  <c r="P49" i="2"/>
  <c r="Q49" i="2"/>
  <c r="P50" i="2"/>
  <c r="Q50" i="2"/>
  <c r="P51" i="2"/>
  <c r="Q51" i="2"/>
  <c r="P52" i="2"/>
  <c r="Q52" i="2"/>
  <c r="P53" i="2"/>
  <c r="Q53" i="2"/>
  <c r="P54" i="2"/>
  <c r="Q54" i="2"/>
  <c r="P55" i="2"/>
  <c r="Q55" i="2"/>
  <c r="P56" i="2"/>
  <c r="Q56" i="2"/>
  <c r="P57" i="2"/>
  <c r="Q57" i="2"/>
  <c r="P58" i="2"/>
  <c r="Q58" i="2"/>
  <c r="P59" i="2"/>
  <c r="Q59" i="2"/>
  <c r="P60" i="2"/>
  <c r="Q60" i="2"/>
  <c r="P61" i="2"/>
  <c r="Q61" i="2"/>
  <c r="P62" i="2"/>
  <c r="Q62" i="2"/>
  <c r="P63" i="2"/>
  <c r="Q63" i="2"/>
  <c r="P64" i="2"/>
  <c r="Q64" i="2"/>
  <c r="P65" i="2"/>
  <c r="Q65" i="2"/>
  <c r="P66" i="2"/>
  <c r="Q66" i="2"/>
  <c r="P67" i="2"/>
  <c r="Q67" i="2"/>
  <c r="P68" i="2"/>
  <c r="Q68" i="2"/>
  <c r="P69" i="2"/>
  <c r="Q69" i="2"/>
  <c r="P70" i="2"/>
  <c r="Q70" i="2"/>
  <c r="P71" i="2"/>
  <c r="Q71" i="2"/>
  <c r="P72" i="2"/>
  <c r="Q72" i="2"/>
  <c r="P73" i="2"/>
  <c r="Q73" i="2"/>
  <c r="P74" i="2"/>
  <c r="Q74" i="2"/>
  <c r="P75" i="2"/>
  <c r="Q75" i="2"/>
  <c r="P76" i="2"/>
  <c r="Q76" i="2"/>
  <c r="P77" i="2"/>
  <c r="Q77" i="2"/>
  <c r="P78" i="2"/>
  <c r="Q78" i="2"/>
  <c r="P79" i="2"/>
  <c r="Q79" i="2"/>
  <c r="P80" i="2"/>
  <c r="Q80" i="2"/>
</calcChain>
</file>

<file path=xl/sharedStrings.xml><?xml version="1.0" encoding="utf-8"?>
<sst xmlns="http://schemas.openxmlformats.org/spreadsheetml/2006/main" count="1056" uniqueCount="890">
  <si>
    <t>ensembl_ID</t>
  </si>
  <si>
    <t>symbol</t>
  </si>
  <si>
    <t>entrezgene_id</t>
  </si>
  <si>
    <t>log2FC</t>
  </si>
  <si>
    <t>Adjusted_P_value</t>
  </si>
  <si>
    <t>description</t>
  </si>
  <si>
    <t>ENSMUSG00000025498</t>
  </si>
  <si>
    <t>Irf7</t>
  </si>
  <si>
    <t>Interferon regulatory factor 7</t>
  </si>
  <si>
    <t>ENSMUSG00000059089</t>
  </si>
  <si>
    <t>Fcgr4</t>
  </si>
  <si>
    <t>Fc receptor, IgG, low affinity IV</t>
  </si>
  <si>
    <t>ENSMUSG00000054072</t>
  </si>
  <si>
    <t>Iigp1</t>
  </si>
  <si>
    <t>Interferon inducible GTPase 1</t>
  </si>
  <si>
    <t>ENSMUSG00000009185</t>
  </si>
  <si>
    <t>Ccl8</t>
  </si>
  <si>
    <t>C-C motif chemokine ligand 8</t>
  </si>
  <si>
    <t>ENSMUSG00000068606</t>
  </si>
  <si>
    <t>Gm4841</t>
  </si>
  <si>
    <t>Predicted gene 4841</t>
  </si>
  <si>
    <t>ENSMUSG00000090231</t>
  </si>
  <si>
    <t>Cfb</t>
  </si>
  <si>
    <t>Complement factor B</t>
  </si>
  <si>
    <t>ENSMUSG00000046879</t>
  </si>
  <si>
    <t>Irgm1</t>
  </si>
  <si>
    <t>Immunity-related GTPase family M member 1</t>
  </si>
  <si>
    <t>ENSMUSG00000028459</t>
  </si>
  <si>
    <t>Cd72</t>
  </si>
  <si>
    <t>CD72 antigen</t>
  </si>
  <si>
    <t>ENSMUSG00000049103</t>
  </si>
  <si>
    <t>Ccr2</t>
  </si>
  <si>
    <t>C-C motif chemokine receptor 2</t>
  </si>
  <si>
    <t>ENSMUSG00000002033</t>
  </si>
  <si>
    <t>Cd3g</t>
  </si>
  <si>
    <t>CD3 antigen, gamma polypeptide</t>
  </si>
  <si>
    <t>ENSMUSG00000024675</t>
  </si>
  <si>
    <t>Ms4a4c</t>
  </si>
  <si>
    <t>Membrane-spanning 4-domains, subfamily A, member 4C</t>
  </si>
  <si>
    <t>ENSMUSG00000029322</t>
  </si>
  <si>
    <t>Plac8</t>
  </si>
  <si>
    <t>Placenta-specific 8</t>
  </si>
  <si>
    <t>ENSMUSG00000053063</t>
  </si>
  <si>
    <t>Clec12a</t>
  </si>
  <si>
    <t>C-type lectin domain family 12, member a</t>
  </si>
  <si>
    <t>ENSMUSG00000074896</t>
  </si>
  <si>
    <t>Ifit3</t>
  </si>
  <si>
    <t>Interferon-induced protein with tetratricopeptide repeats 3</t>
  </si>
  <si>
    <t>ENSMUSG00000028268</t>
  </si>
  <si>
    <t>Gbp3</t>
  </si>
  <si>
    <t>Guanylate binding protein 3</t>
  </si>
  <si>
    <t>ENSMUSG00000079227</t>
  </si>
  <si>
    <t>Ccr5</t>
  </si>
  <si>
    <t>C-C motif chemokine receptor 5</t>
  </si>
  <si>
    <t>ENSMUSG00000000682</t>
  </si>
  <si>
    <t>Cd52</t>
  </si>
  <si>
    <t>CD52 antigen</t>
  </si>
  <si>
    <t>ENSMUSG00000029417</t>
  </si>
  <si>
    <t>Cxcl9</t>
  </si>
  <si>
    <t>C-X-C motif chemokine ligand 9</t>
  </si>
  <si>
    <t>ENSMUSG00000034459</t>
  </si>
  <si>
    <t>Ifit1</t>
  </si>
  <si>
    <t>Interferon-induced protein with tetratricopeptide repeats 1</t>
  </si>
  <si>
    <t>ENSMUSG00000029752</t>
  </si>
  <si>
    <t>Asns</t>
  </si>
  <si>
    <t>Asparagine synthetase</t>
  </si>
  <si>
    <t>ENSMUSG00000034855</t>
  </si>
  <si>
    <t>Cxcl10</t>
  </si>
  <si>
    <t>C-X-C motif chemokine ligand 10</t>
  </si>
  <si>
    <t>ENSMUSG00000040264</t>
  </si>
  <si>
    <t>Gbp2b</t>
  </si>
  <si>
    <t>Guanylate binding protein 2b</t>
  </si>
  <si>
    <t>ENSMUSG00000015340</t>
  </si>
  <si>
    <t>Cybb</t>
  </si>
  <si>
    <t>Cytochrome b-245, beta polypeptide</t>
  </si>
  <si>
    <t>ENSMUSG00000005667</t>
  </si>
  <si>
    <t>Mthfd2</t>
  </si>
  <si>
    <t>Methylenetetrahydrofolate dehydrogenase (NAD+ dependent), methenyltetrahydrofolate cyclohydrolase</t>
  </si>
  <si>
    <t>ENSMUSG00000000204</t>
  </si>
  <si>
    <t>Slfn4</t>
  </si>
  <si>
    <t>Schlafen 4</t>
  </si>
  <si>
    <t>ENSMUSG00000024338</t>
  </si>
  <si>
    <t>Psmb8</t>
  </si>
  <si>
    <t>Proteasome (prosome, macropain) subunit, beta type 8 (large multifunctional peptidase 7)</t>
  </si>
  <si>
    <t>ENSMUSG00000028364</t>
  </si>
  <si>
    <t>Tnc</t>
  </si>
  <si>
    <t>Tenascin C</t>
  </si>
  <si>
    <t>ENSMUSG00000001131</t>
  </si>
  <si>
    <t>Timp1</t>
  </si>
  <si>
    <t>Tissue inhibitor of metalloproteinase 1</t>
  </si>
  <si>
    <t>ENSMUSG00000028037</t>
  </si>
  <si>
    <t>Ifi44</t>
  </si>
  <si>
    <t>Interferon-induced protein 44</t>
  </si>
  <si>
    <t>ENSMUSG00000015437</t>
  </si>
  <si>
    <t>Gzmb</t>
  </si>
  <si>
    <t>Granzyme B</t>
  </si>
  <si>
    <t>ENSMUSG00000046805</t>
  </si>
  <si>
    <t>Mpeg1</t>
  </si>
  <si>
    <t>Macrophage expressed gene 1</t>
  </si>
  <si>
    <t>ENSMUSG00000043832</t>
  </si>
  <si>
    <t>Clec4a3</t>
  </si>
  <si>
    <t>C-type lectin domain family 4, member a3</t>
  </si>
  <si>
    <t>ENSMUSG00000026395</t>
  </si>
  <si>
    <t>Ptprc</t>
  </si>
  <si>
    <t>Protein tyrosine phosphatase receptor type C</t>
  </si>
  <si>
    <t>ENSMUSG00000024672</t>
  </si>
  <si>
    <t>Ms4a7</t>
  </si>
  <si>
    <t>Membrane-spanning 4-domains, subfamily A, member 7</t>
  </si>
  <si>
    <t>ENSMUSG00000044703</t>
  </si>
  <si>
    <t>Phf11a</t>
  </si>
  <si>
    <t>PHD finger protein 11A</t>
  </si>
  <si>
    <t>ENSMUSG00000021423</t>
  </si>
  <si>
    <t>Ly86</t>
  </si>
  <si>
    <t>Lymphocyte antigen 86</t>
  </si>
  <si>
    <t>ENSMUSG00000038642</t>
  </si>
  <si>
    <t>Ctss</t>
  </si>
  <si>
    <t>Cathepsin S</t>
  </si>
  <si>
    <t>ENSMUSG00000027514</t>
  </si>
  <si>
    <t>Zbp1</t>
  </si>
  <si>
    <t>Z-DNA binding protein 1</t>
  </si>
  <si>
    <t>ENSMUSG00000049037</t>
  </si>
  <si>
    <t>Clec4a1</t>
  </si>
  <si>
    <t>C-type lectin domain family 4, member a1</t>
  </si>
  <si>
    <t>ENSMUSG00000016496</t>
  </si>
  <si>
    <t>Cd274</t>
  </si>
  <si>
    <t>CD274 antigen</t>
  </si>
  <si>
    <t>ENSMUSG00000023132</t>
  </si>
  <si>
    <t>Gzma</t>
  </si>
  <si>
    <t>Granzyme A</t>
  </si>
  <si>
    <t>ENSMUSG00000078763</t>
  </si>
  <si>
    <t>Slfn1</t>
  </si>
  <si>
    <t>Schlafen 1</t>
  </si>
  <si>
    <t>ENSMUSG00000000982</t>
  </si>
  <si>
    <t>Ccl3</t>
  </si>
  <si>
    <t>C-C motif chemokine ligand 3</t>
  </si>
  <si>
    <t>ENSMUSG00000004730</t>
  </si>
  <si>
    <t>Adgre1</t>
  </si>
  <si>
    <t>Adhesion G protein-coupled receptor E1</t>
  </si>
  <si>
    <t>ENSMUSG00000062488</t>
  </si>
  <si>
    <t>Ifit3b</t>
  </si>
  <si>
    <t>Interferon-induced protein with tetratricopeptide repeats 3B</t>
  </si>
  <si>
    <t>ENSMUSG00000004612</t>
  </si>
  <si>
    <t>Nkg7</t>
  </si>
  <si>
    <t>Natural killer cell group 7 sequence</t>
  </si>
  <si>
    <t>ENSMUSG00000039264</t>
  </si>
  <si>
    <t>Gimap3</t>
  </si>
  <si>
    <t>GTPase, IMAP family member 3</t>
  </si>
  <si>
    <t>ENSMUSG00000034438</t>
  </si>
  <si>
    <t>Gbp8</t>
  </si>
  <si>
    <t>Guanylate-binding protein 8</t>
  </si>
  <si>
    <t>ENSMUSG00000037321</t>
  </si>
  <si>
    <t>Tap1</t>
  </si>
  <si>
    <t>Transporter 1, ATP-binding cassette, sub-family B (MDR/TAP)</t>
  </si>
  <si>
    <t>ENSMUSG00000045932</t>
  </si>
  <si>
    <t>Ifit2</t>
  </si>
  <si>
    <t>Interferon-induced protein with tetratricopeptide repeats 2</t>
  </si>
  <si>
    <t>ENSMUSG00000048852</t>
  </si>
  <si>
    <t>Gm12185</t>
  </si>
  <si>
    <t>Predicted gene 12185</t>
  </si>
  <si>
    <t>ENSMUSG00000035929</t>
  </si>
  <si>
    <t>H2-Q4</t>
  </si>
  <si>
    <t>Histocompatibility 2, Q region locus 4</t>
  </si>
  <si>
    <t>ENSMUSG00000052160</t>
  </si>
  <si>
    <t>Pld4</t>
  </si>
  <si>
    <t>Phospholipase D family member 4</t>
  </si>
  <si>
    <t>ENSMUSG00000000290</t>
  </si>
  <si>
    <t>Itgb2</t>
  </si>
  <si>
    <t>Integrin beta 2</t>
  </si>
  <si>
    <t>ENSMUSG00000079363</t>
  </si>
  <si>
    <t>Gbp4</t>
  </si>
  <si>
    <t>Guanylate binding protein 4</t>
  </si>
  <si>
    <t>ENSMUSG00000045551</t>
  </si>
  <si>
    <t>Fpr1</t>
  </si>
  <si>
    <t>Formyl peptide receptor 1</t>
  </si>
  <si>
    <t>ENSMUSG00000073421</t>
  </si>
  <si>
    <t>H2-Ab1</t>
  </si>
  <si>
    <t>Histocompatibility 2, class II antigen A, beta 1</t>
  </si>
  <si>
    <t>ENSMUSG00000040747</t>
  </si>
  <si>
    <t>Cd53</t>
  </si>
  <si>
    <t>CD53 antigen</t>
  </si>
  <si>
    <t>ENSMUSG00000030707</t>
  </si>
  <si>
    <t>Coro1a</t>
  </si>
  <si>
    <t>Coronin, actin binding protein 1A</t>
  </si>
  <si>
    <t>ENSMUSG00000056290</t>
  </si>
  <si>
    <t>Ms4a4b</t>
  </si>
  <si>
    <t>Membrane-spanning 4-domains, subfamily A, member 4B</t>
  </si>
  <si>
    <t>ENSMUSG00000021624</t>
  </si>
  <si>
    <t>Cd180</t>
  </si>
  <si>
    <t>CD180 antigen</t>
  </si>
  <si>
    <t>ENSMUSG00000030786</t>
  </si>
  <si>
    <t>Itgam</t>
  </si>
  <si>
    <t>Integrin alpha M</t>
  </si>
  <si>
    <t>ENSMUSG00000024397</t>
  </si>
  <si>
    <t>Aif1</t>
  </si>
  <si>
    <t>Allograft inflammatory factor 1</t>
  </si>
  <si>
    <t>ENSMUSG00000040026</t>
  </si>
  <si>
    <t>Saa3</t>
  </si>
  <si>
    <t>Serum amyloid A 3</t>
  </si>
  <si>
    <t>ENSMUSG00000025408</t>
  </si>
  <si>
    <t>Ddit3</t>
  </si>
  <si>
    <t>DNA-damage inducible transcript 3</t>
  </si>
  <si>
    <t>ENSMUSG00000021886</t>
  </si>
  <si>
    <t>Gpr65</t>
  </si>
  <si>
    <t>G-protein coupled receptor 65</t>
  </si>
  <si>
    <t>ENSMUSG00000101628</t>
  </si>
  <si>
    <t>Gm28177</t>
  </si>
  <si>
    <t>NA</t>
  </si>
  <si>
    <t>Predicted gene 28177</t>
  </si>
  <si>
    <t>ENSMUSG00000036594</t>
  </si>
  <si>
    <t>H2-Aa</t>
  </si>
  <si>
    <t>Histocompatibility 2, class II antigen A, alpha</t>
  </si>
  <si>
    <t>ENSMUSG00000030107</t>
  </si>
  <si>
    <t>Usp18</t>
  </si>
  <si>
    <t>Ubiquitin specific peptidase 18</t>
  </si>
  <si>
    <t>ENSMUSG00000096727</t>
  </si>
  <si>
    <t>Psmb9</t>
  </si>
  <si>
    <t>Proteasome (prosome, macropain) subunit, beta type 9 (large multifunctional peptidase 2)</t>
  </si>
  <si>
    <t>ENSMUSG00000025017</t>
  </si>
  <si>
    <t>Pik3ap1</t>
  </si>
  <si>
    <t>Phosphoinositide-3-kinase adaptor protein 1</t>
  </si>
  <si>
    <t>ENSMUSG00000055413</t>
  </si>
  <si>
    <t>H2-Q5</t>
  </si>
  <si>
    <t>Histocompatibility 2, Q region locus 5</t>
  </si>
  <si>
    <t>ENSMUSG00000034116</t>
  </si>
  <si>
    <t>Vav1</t>
  </si>
  <si>
    <t>Vav 1 oncogene</t>
  </si>
  <si>
    <t>ENSMUSG00000053101</t>
  </si>
  <si>
    <t>Gpr141</t>
  </si>
  <si>
    <t>G protein-coupled receptor 141</t>
  </si>
  <si>
    <t>ENSMUSG00000055541</t>
  </si>
  <si>
    <t>Lair1</t>
  </si>
  <si>
    <t>Leukocyte-associated Ig-like receptor 1</t>
  </si>
  <si>
    <t>ENSMUSG00000040613</t>
  </si>
  <si>
    <t>Apobec1</t>
  </si>
  <si>
    <t>Apolipoprotein B mRNA editing enzyme, catalytic polypeptide 1</t>
  </si>
  <si>
    <t>ENSMUSG00000060586</t>
  </si>
  <si>
    <t>H2-Eb1</t>
  </si>
  <si>
    <t>Histocompatibility 2, class II antigen E beta</t>
  </si>
  <si>
    <t>ENSMUSG00000058715</t>
  </si>
  <si>
    <t>Fcer1g</t>
  </si>
  <si>
    <t>Fc receptor, IgE, high affinity I, gamma polypeptide</t>
  </si>
  <si>
    <t>ENSMUSG00000040552</t>
  </si>
  <si>
    <t>C3ar1</t>
  </si>
  <si>
    <t>Complement component 3a receptor 1</t>
  </si>
  <si>
    <t>ENSMUSG00000031897</t>
  </si>
  <si>
    <t>Psmb10</t>
  </si>
  <si>
    <t>Proteasome (prosome, macropain) subunit, beta type 10</t>
  </si>
  <si>
    <t>ENSMUSG00000024610</t>
  </si>
  <si>
    <t>Cd74</t>
  </si>
  <si>
    <t>CD74 antigen (invariant polypeptide of major histocompatibility complex, class II antigen-associated)</t>
  </si>
  <si>
    <t>ENSMUSG00000033880</t>
  </si>
  <si>
    <t>Lgals3bp</t>
  </si>
  <si>
    <t>Lectin, galactoside-binding, soluble, 3 binding protein</t>
  </si>
  <si>
    <t>ENSMUSG00000039146</t>
  </si>
  <si>
    <t>Ifi44l</t>
  </si>
  <si>
    <t>Interferon-induced protein 44 like</t>
  </si>
  <si>
    <t>ENSMUSG00000024679</t>
  </si>
  <si>
    <t>Ms4a6d</t>
  </si>
  <si>
    <t>Membrane-spanning 4-domains, subfamily A, member 6D</t>
  </si>
  <si>
    <t>ENSMUSG00000060131</t>
  </si>
  <si>
    <t>Atp8b4</t>
  </si>
  <si>
    <t>ATPase, class I, type 8B, member 4</t>
  </si>
  <si>
    <t>ENSMUSG00000033220</t>
  </si>
  <si>
    <t>Rac2</t>
  </si>
  <si>
    <t>Rac family small GTPase 2</t>
  </si>
  <si>
    <t>ENSMUSG00000020143</t>
  </si>
  <si>
    <t>Dock2</t>
  </si>
  <si>
    <t>Dedicator of cyto-kinesis 2</t>
  </si>
  <si>
    <t>ENSMUSG00000038179</t>
  </si>
  <si>
    <t>Slamf7</t>
  </si>
  <si>
    <t>SLAM family member 7</t>
  </si>
  <si>
    <t>ENSMUSG00000021998</t>
  </si>
  <si>
    <t>Lcp1</t>
  </si>
  <si>
    <t>Lymphocyte cytosolic protein 1</t>
  </si>
  <si>
    <t>ENSMUSG00000053687</t>
  </si>
  <si>
    <t>Dpep2</t>
  </si>
  <si>
    <t>Dipeptidase 2</t>
  </si>
  <si>
    <t>ENSMUSG00000035352</t>
  </si>
  <si>
    <t>Ccl12</t>
  </si>
  <si>
    <t>C-C motif chemokine ligand 12</t>
  </si>
  <si>
    <t>ENSMUSG00000092021</t>
  </si>
  <si>
    <t>Gbp11</t>
  </si>
  <si>
    <t>Guanylate binding protein 11</t>
  </si>
  <si>
    <t>ENSMUSG00000000409</t>
  </si>
  <si>
    <t>Lck</t>
  </si>
  <si>
    <t>Lymphocyte protein tyrosine kinase</t>
  </si>
  <si>
    <t>ENSMUSG00000040528</t>
  </si>
  <si>
    <t>Milr1</t>
  </si>
  <si>
    <t>Mast cell immunoglobulin like receptor 1</t>
  </si>
  <si>
    <t>ENSMUSG00000033777</t>
  </si>
  <si>
    <t>Tlr13</t>
  </si>
  <si>
    <t>Toll-like receptor 13</t>
  </si>
  <si>
    <t>ENSMUSG00000026548</t>
  </si>
  <si>
    <t>Slamf9</t>
  </si>
  <si>
    <t>SLAM family member 9</t>
  </si>
  <si>
    <t>ENSMUSG00000002699</t>
  </si>
  <si>
    <t>Lcp2</t>
  </si>
  <si>
    <t>Lymphocyte cytosolic protein 2</t>
  </si>
  <si>
    <t>ENSMUSG00000029254</t>
  </si>
  <si>
    <t>Stap1</t>
  </si>
  <si>
    <t>Signal transducing adaptor family member 1</t>
  </si>
  <si>
    <t>ENSMUSG00000027199</t>
  </si>
  <si>
    <t>Gatm</t>
  </si>
  <si>
    <t>Glycine amidinotransferase (L-arginine:glycine amidinotransferase)</t>
  </si>
  <si>
    <t>ENSMUSG00000038147</t>
  </si>
  <si>
    <t>Cd84</t>
  </si>
  <si>
    <t>CD84 antigen</t>
  </si>
  <si>
    <t>ENSMUSG00000048163</t>
  </si>
  <si>
    <t>Selplg</t>
  </si>
  <si>
    <t>Selectin, platelet (p-selectin) ligand</t>
  </si>
  <si>
    <t>ENSMUSG00000028581</t>
  </si>
  <si>
    <t>Laptm5</t>
  </si>
  <si>
    <t>Lysosomal-associated protein transmembrane 5</t>
  </si>
  <si>
    <t>ENSMUSG00000044827</t>
  </si>
  <si>
    <t>Tlr1</t>
  </si>
  <si>
    <t>Toll-like receptor 1</t>
  </si>
  <si>
    <t>ENSMUSG00000018008</t>
  </si>
  <si>
    <t>Cyth4</t>
  </si>
  <si>
    <t>Cytohesin 4</t>
  </si>
  <si>
    <t>ENSMUSG00000044811</t>
  </si>
  <si>
    <t>Cd300c2</t>
  </si>
  <si>
    <t>CD300C molecule 2</t>
  </si>
  <si>
    <t>ENSMUSG00000040253</t>
  </si>
  <si>
    <t>Gbp7</t>
  </si>
  <si>
    <t>Guanylate binding protein 7</t>
  </si>
  <si>
    <t>ENSMUSG00000037731</t>
  </si>
  <si>
    <t>Themis2</t>
  </si>
  <si>
    <t>Thymocyte selection associated family member 2</t>
  </si>
  <si>
    <t>ENSMUSG00000023341</t>
  </si>
  <si>
    <t>Mx2</t>
  </si>
  <si>
    <t>MX dynamin-like GTPase 2</t>
  </si>
  <si>
    <t>ENSMUSG00000020120</t>
  </si>
  <si>
    <t>Plek</t>
  </si>
  <si>
    <t>Pleckstrin</t>
  </si>
  <si>
    <t>ENSMUSG00000022488</t>
  </si>
  <si>
    <t>Nckap1l</t>
  </si>
  <si>
    <t>NCK associated protein 1 like</t>
  </si>
  <si>
    <t>ENSMUSG00000073418</t>
  </si>
  <si>
    <t>C4b</t>
  </si>
  <si>
    <t>Complement C4B (Chido blood group)</t>
  </si>
  <si>
    <t>ENSMUSG00000058818</t>
  </si>
  <si>
    <t>Pirb</t>
  </si>
  <si>
    <t>Paired Ig-like receptor B</t>
  </si>
  <si>
    <t>ENSMUSG00000024677</t>
  </si>
  <si>
    <t>Ms4a6b</t>
  </si>
  <si>
    <t>Membrane-spanning 4-domains, subfamily A, member 6B</t>
  </si>
  <si>
    <t>ENSMUSG00000068227</t>
  </si>
  <si>
    <t>Il2rb</t>
  </si>
  <si>
    <t>Interleukin 2 receptor, beta chain</t>
  </si>
  <si>
    <t>ENSMUSG00000048521</t>
  </si>
  <si>
    <t>Cxcr6</t>
  </si>
  <si>
    <t>C-X-C motif chemokine receptor 6</t>
  </si>
  <si>
    <t>ENSMUSG00000049744</t>
  </si>
  <si>
    <t>Arhgap15</t>
  </si>
  <si>
    <t>Rho GTPase activating protein 15</t>
  </si>
  <si>
    <t>ENSMUSG00000015355</t>
  </si>
  <si>
    <t>Cd48</t>
  </si>
  <si>
    <t>CD48 antigen</t>
  </si>
  <si>
    <t>ENSMUSG00000071715</t>
  </si>
  <si>
    <t>Ncf4</t>
  </si>
  <si>
    <t>Neutrophil cytosolic factor 4</t>
  </si>
  <si>
    <t>ENSMUSG00000040483</t>
  </si>
  <si>
    <t>Xaf1</t>
  </si>
  <si>
    <t>XIAP associated factor 1</t>
  </si>
  <si>
    <t>ENSMUSG00000026535</t>
  </si>
  <si>
    <t>Ifi202b</t>
  </si>
  <si>
    <t>Interferon activated gene 202B</t>
  </si>
  <si>
    <t>ENSMUSG00000003283</t>
  </si>
  <si>
    <t>Hck</t>
  </si>
  <si>
    <t>Hemopoietic cell kinase</t>
  </si>
  <si>
    <t>ENSMUSG00000024300</t>
  </si>
  <si>
    <t>Myo1f</t>
  </si>
  <si>
    <t>Myosin IF</t>
  </si>
  <si>
    <t>ENSMUSG00000032661</t>
  </si>
  <si>
    <t>Oas3</t>
  </si>
  <si>
    <t>2'-5' oligoadenylate synthetase 3</t>
  </si>
  <si>
    <t>ENSMUSG00000000386</t>
  </si>
  <si>
    <t>Mx1</t>
  </si>
  <si>
    <t>MX dynamin-like GTPase 1</t>
  </si>
  <si>
    <t>ENSMUSG00000030579</t>
  </si>
  <si>
    <t>Tyrobp</t>
  </si>
  <si>
    <t>TYRO protein tyrosine kinase binding protein</t>
  </si>
  <si>
    <t>ENSMUSG00000027009</t>
  </si>
  <si>
    <t>Itga4</t>
  </si>
  <si>
    <t>Integrin alpha 4</t>
  </si>
  <si>
    <t>ENSMUSG00000056888</t>
  </si>
  <si>
    <t>Glipr1</t>
  </si>
  <si>
    <t>GLI pathogenesis related 1</t>
  </si>
  <si>
    <t>ENSMUSG00000079419</t>
  </si>
  <si>
    <t>Ms4a6c</t>
  </si>
  <si>
    <t>Membrane-spanning 4-domains, subfamily A, member 6C</t>
  </si>
  <si>
    <t>ENSMUSG00000003882</t>
  </si>
  <si>
    <t>Il7r</t>
  </si>
  <si>
    <t>Interleukin 7 receptor</t>
  </si>
  <si>
    <t>ENSMUSG00000024164</t>
  </si>
  <si>
    <t>C3</t>
  </si>
  <si>
    <t>Complement component 3</t>
  </si>
  <si>
    <t>ENSMUSG00000072620</t>
  </si>
  <si>
    <t>Slfn2</t>
  </si>
  <si>
    <t>Schlafen 2</t>
  </si>
  <si>
    <t>ENSMUSG00000102418</t>
  </si>
  <si>
    <t>Sh2d1b1</t>
  </si>
  <si>
    <t>SH2 domain containing 1B1</t>
  </si>
  <si>
    <t>ENSMUSG00000049109</t>
  </si>
  <si>
    <t>Themis</t>
  </si>
  <si>
    <t>Thymocyte selection associated</t>
  </si>
  <si>
    <t>ENSMUSG00000027863</t>
  </si>
  <si>
    <t>Cd2</t>
  </si>
  <si>
    <t>CD2 antigen</t>
  </si>
  <si>
    <t>ENSMUSG00000022372</t>
  </si>
  <si>
    <t>Sla</t>
  </si>
  <si>
    <t>Src-like adaptor</t>
  </si>
  <si>
    <t>ENSMUSG00000068245</t>
  </si>
  <si>
    <t>Phf11d</t>
  </si>
  <si>
    <t>PHD finger protein 11D</t>
  </si>
  <si>
    <t>ENSMUSG00000046718</t>
  </si>
  <si>
    <t>Bst2</t>
  </si>
  <si>
    <t>Bone marrow stromal cell antigen 2</t>
  </si>
  <si>
    <t>ENSMUSG00000062593</t>
  </si>
  <si>
    <t>Gm49339</t>
  </si>
  <si>
    <t>Predicted gene, 49339</t>
  </si>
  <si>
    <t>ENSMUSG00000026177</t>
  </si>
  <si>
    <t>Slc11a1</t>
  </si>
  <si>
    <t>Solute carrier family 11 (proton-coupled divalent metal ion transporters), member 1</t>
  </si>
  <si>
    <t>ENSMUSG00000037921</t>
  </si>
  <si>
    <t>Ddx60</t>
  </si>
  <si>
    <t>DExD/H box helicase 60</t>
  </si>
  <si>
    <t>ENSMUSG00000035208</t>
  </si>
  <si>
    <t>Slfn8</t>
  </si>
  <si>
    <t>Schlafen 8</t>
  </si>
  <si>
    <t>ENSMUSG00000067149</t>
  </si>
  <si>
    <t>Jchain</t>
  </si>
  <si>
    <t>Immunoglobulin joining chain</t>
  </si>
  <si>
    <t>ENSMUSG00000036908</t>
  </si>
  <si>
    <t>Unc93b1</t>
  </si>
  <si>
    <t>Unc-93 homolog B1, TLR signaling regulator</t>
  </si>
  <si>
    <t>ENSMUSG00000024696</t>
  </si>
  <si>
    <t>Lpxn</t>
  </si>
  <si>
    <t>Leupaxin</t>
  </si>
  <si>
    <t>ENSMUSG00000079017</t>
  </si>
  <si>
    <t>Ifi27l2a</t>
  </si>
  <si>
    <t>Interferon, alpha-inducible protein 27 like 2A</t>
  </si>
  <si>
    <t>ENSMUSG00000033355</t>
  </si>
  <si>
    <t>Rtp4</t>
  </si>
  <si>
    <t>Receptor transporter protein 4</t>
  </si>
  <si>
    <t>ENSMUSG00000032089</t>
  </si>
  <si>
    <t>Il10ra</t>
  </si>
  <si>
    <t>Interleukin 10 receptor, alpha</t>
  </si>
  <si>
    <t>ENSMUSG00000013584</t>
  </si>
  <si>
    <t>Aldh1a2</t>
  </si>
  <si>
    <t>Aldehyde dehydrogenase family 1, subfamily A2</t>
  </si>
  <si>
    <t>ENSMUSG00000026581</t>
  </si>
  <si>
    <t>Sell</t>
  </si>
  <si>
    <t>Selectin, lymphocyte</t>
  </si>
  <si>
    <t>ENSMUSG00000018920</t>
  </si>
  <si>
    <t>Cxcl16</t>
  </si>
  <si>
    <t>C-X-C motif chemokine ligand 16</t>
  </si>
  <si>
    <t>ENSMUSG00000026656</t>
  </si>
  <si>
    <t>Fcgr2b</t>
  </si>
  <si>
    <t>Fc receptor, IgG, low affinity IIb</t>
  </si>
  <si>
    <t>ENSMUSG00000018774</t>
  </si>
  <si>
    <t>Cd68</t>
  </si>
  <si>
    <t>CD68 antigen</t>
  </si>
  <si>
    <t>ENSMUSG00000098112</t>
  </si>
  <si>
    <t>Bin2</t>
  </si>
  <si>
    <t>Bridging integrator 2</t>
  </si>
  <si>
    <t>ENSMUSG00000060802</t>
  </si>
  <si>
    <t>B2m</t>
  </si>
  <si>
    <t>Beta-2 microglobulin</t>
  </si>
  <si>
    <t>ENSMUSG00000030560</t>
  </si>
  <si>
    <t>Ctsc</t>
  </si>
  <si>
    <t>Cathepsin C</t>
  </si>
  <si>
    <t>ENSMUSG00000050370</t>
  </si>
  <si>
    <t>Ch25h</t>
  </si>
  <si>
    <t>Cholesterol 25-hydroxylase</t>
  </si>
  <si>
    <t>ENSMUSG00000024640</t>
  </si>
  <si>
    <t>Psat1</t>
  </si>
  <si>
    <t>Phosphoserine aminotransferase 1</t>
  </si>
  <si>
    <t>ENSMUSG00000026832</t>
  </si>
  <si>
    <t>Cytip</t>
  </si>
  <si>
    <t>Cytohesin 1 interacting protein</t>
  </si>
  <si>
    <t>ENSMUSG00000051506</t>
  </si>
  <si>
    <t>Wdfy4</t>
  </si>
  <si>
    <t>WD repeat and FYVE domain containing 4</t>
  </si>
  <si>
    <t>ENSMUSG00000035273</t>
  </si>
  <si>
    <t>Hpse</t>
  </si>
  <si>
    <t>Heparanase</t>
  </si>
  <si>
    <t>ENSMUSG00000050921</t>
  </si>
  <si>
    <t>P2ry10</t>
  </si>
  <si>
    <t>Purinergic receptor P2Y, G-protein coupled 10</t>
  </si>
  <si>
    <t>ENSMUSG00000027639</t>
  </si>
  <si>
    <t>Samhd1</t>
  </si>
  <si>
    <t>SAM domain and HD domain, 1</t>
  </si>
  <si>
    <t>ENSMUSG00000034422</t>
  </si>
  <si>
    <t>Parp14</t>
  </si>
  <si>
    <t>Poly (ADP-ribose) polymerase family, member 14</t>
  </si>
  <si>
    <t>ENSMUSG00000078780</t>
  </si>
  <si>
    <t>Gm5150</t>
  </si>
  <si>
    <t>Predicted gene 5150</t>
  </si>
  <si>
    <t>ENSMUSG00000024529</t>
  </si>
  <si>
    <t>Lox</t>
  </si>
  <si>
    <t>Lysyl oxidase</t>
  </si>
  <si>
    <t>ENSMUSG00000030142</t>
  </si>
  <si>
    <t>Clec4e</t>
  </si>
  <si>
    <t>C-type lectin domain family 4, member e</t>
  </si>
  <si>
    <t>ENSMUSG00000030921</t>
  </si>
  <si>
    <t>Trim30a</t>
  </si>
  <si>
    <t>Tripartite motif-containing 30A</t>
  </si>
  <si>
    <t>ENSMUSG00000033538</t>
  </si>
  <si>
    <t>Casp4</t>
  </si>
  <si>
    <t>Caspase 4, apoptosis-related cysteine peptidase</t>
  </si>
  <si>
    <t>ENSMUSG00000004266</t>
  </si>
  <si>
    <t>Ptpn6</t>
  </si>
  <si>
    <t>Protein tyrosine phosphatase, non-receptor type 6</t>
  </si>
  <si>
    <t>ENSMUSG00000020641</t>
  </si>
  <si>
    <t>Rsad2</t>
  </si>
  <si>
    <t>Radical S-adenosyl methionine domain containing 2</t>
  </si>
  <si>
    <t>ENSMUSG00000030427</t>
  </si>
  <si>
    <t>Lilra6</t>
  </si>
  <si>
    <t>Leukocyte immunoglobulin-like receptor, subfamily A (with TM domain), member 6</t>
  </si>
  <si>
    <t>ENSMUSG00000069792</t>
  </si>
  <si>
    <t>Wfdc17</t>
  </si>
  <si>
    <t>WAP four-disulfide core domain 17</t>
  </si>
  <si>
    <t>ENSMUSG00000025044</t>
  </si>
  <si>
    <t>Msr1</t>
  </si>
  <si>
    <t>Macrophage scavenger receptor 1</t>
  </si>
  <si>
    <t>ENSMUSG00000044583</t>
  </si>
  <si>
    <t>Tlr7</t>
  </si>
  <si>
    <t>Toll-like receptor 7</t>
  </si>
  <si>
    <t>ENSMUSG00000001348</t>
  </si>
  <si>
    <t>Acp5</t>
  </si>
  <si>
    <t>Acid phosphatase 5, tartrate resistant</t>
  </si>
  <si>
    <t>ENSMUSG00000018654</t>
  </si>
  <si>
    <t>Ikzf1</t>
  </si>
  <si>
    <t>IKAROS family zinc finger 1</t>
  </si>
  <si>
    <t>ENSMUSG00000035373</t>
  </si>
  <si>
    <t>Ccl7</t>
  </si>
  <si>
    <t>C-C motif chemokine ligand 7</t>
  </si>
  <si>
    <t>ENSMUSG00000053977</t>
  </si>
  <si>
    <t>Cd8a</t>
  </si>
  <si>
    <t>CD8 subunit alpha</t>
  </si>
  <si>
    <t>ENSMUSG00000035004</t>
  </si>
  <si>
    <t>Igsf6</t>
  </si>
  <si>
    <t>Immunoglobulin superfamily, member 6</t>
  </si>
  <si>
    <t>ENSMUSG00000026068</t>
  </si>
  <si>
    <t>Il18rap</t>
  </si>
  <si>
    <t>Interleukin 18 receptor accessory protein</t>
  </si>
  <si>
    <t>ENSMUSG00000021091</t>
  </si>
  <si>
    <t>Serpina3n</t>
  </si>
  <si>
    <t>Serine (or cysteine) peptidase inhibitor, clade A, member 3N</t>
  </si>
  <si>
    <t>ENSMUSG00000050232</t>
  </si>
  <si>
    <t>Cxcr3</t>
  </si>
  <si>
    <t>C-X-C motif chemokine receptor 3</t>
  </si>
  <si>
    <t>ENSMUSG00000026628</t>
  </si>
  <si>
    <t>Atf3</t>
  </si>
  <si>
    <t>Activating transcription factor 3</t>
  </si>
  <si>
    <t>ENSMUSG00000023913</t>
  </si>
  <si>
    <t>Pla2g7</t>
  </si>
  <si>
    <t>Phospholipase A2, group VII (platelet-activating factor acetylhydrolase, plasma)</t>
  </si>
  <si>
    <t>ENSMUSG00000038608</t>
  </si>
  <si>
    <t>Dock10</t>
  </si>
  <si>
    <t>Dedicator of cytokinesis 10</t>
  </si>
  <si>
    <t>ENSMUSG00000048865</t>
  </si>
  <si>
    <t>Arhgap30</t>
  </si>
  <si>
    <t>Rho GTPase activating protein 30</t>
  </si>
  <si>
    <t>ENSMUSG00000023349</t>
  </si>
  <si>
    <t>Clec4n</t>
  </si>
  <si>
    <t>C-type lectin domain family 4, member n</t>
  </si>
  <si>
    <t>ENSMUSG00000064215</t>
  </si>
  <si>
    <t>Ifi27</t>
  </si>
  <si>
    <t>Interferon, alpha-inducible protein 27</t>
  </si>
  <si>
    <t>ENSMUSG00000057191</t>
  </si>
  <si>
    <t>AB124611</t>
  </si>
  <si>
    <t>CDNA sequence AB124611</t>
  </si>
  <si>
    <t>ENSMUSG00000030154</t>
  </si>
  <si>
    <t>Klrb1f</t>
  </si>
  <si>
    <t>Killer cell lectin-like receptor subfamily B member 1F</t>
  </si>
  <si>
    <t>ENSMUSG00000030830</t>
  </si>
  <si>
    <t>Itgal</t>
  </si>
  <si>
    <t>Integrin alpha L</t>
  </si>
  <si>
    <t>ENSMUSG00000046080</t>
  </si>
  <si>
    <t>Clec9a</t>
  </si>
  <si>
    <t>C-type lectin domain family 9, member a</t>
  </si>
  <si>
    <t>ENSMUSG00000108112</t>
  </si>
  <si>
    <t>Gm45193</t>
  </si>
  <si>
    <t>Predicted gene 45193</t>
  </si>
  <si>
    <t>ENSMUSG00000020437</t>
  </si>
  <si>
    <t>Myo1g</t>
  </si>
  <si>
    <t>Myosin IG</t>
  </si>
  <si>
    <t>ENSMUSG00000041515</t>
  </si>
  <si>
    <t>Irf8</t>
  </si>
  <si>
    <t>Interferon regulatory factor 8</t>
  </si>
  <si>
    <t>ENSMUSG00000029304</t>
  </si>
  <si>
    <t>Spp1</t>
  </si>
  <si>
    <t>Secreted phosphoprotein 1</t>
  </si>
  <si>
    <t>ENSMUSG00000042254</t>
  </si>
  <si>
    <t>Cilp</t>
  </si>
  <si>
    <t>Cartilage intermediate layer protein, nucleotide pyrophosphohydrolase</t>
  </si>
  <si>
    <t>ENSMUSG00000004707</t>
  </si>
  <si>
    <t>Ly9</t>
  </si>
  <si>
    <t>Lymphocyte antigen 9</t>
  </si>
  <si>
    <t>ENSMUSG00000043931</t>
  </si>
  <si>
    <t>Gimap7</t>
  </si>
  <si>
    <t>GTPase, IMAP family member 7</t>
  </si>
  <si>
    <t>ENSMUSG00000029915</t>
  </si>
  <si>
    <t>Clec5a</t>
  </si>
  <si>
    <t>C-type lectin domain family 5, member a</t>
  </si>
  <si>
    <t>ENSMUSG00000057596</t>
  </si>
  <si>
    <t>Trim30d</t>
  </si>
  <si>
    <t>Tripartite motif-containing 30D</t>
  </si>
  <si>
    <t>ENSMUSG00000002111</t>
  </si>
  <si>
    <t>Spi1</t>
  </si>
  <si>
    <t>Spi-1 proto-oncogene</t>
  </si>
  <si>
    <t>ENSMUSG00000022587</t>
  </si>
  <si>
    <t>Ly6e</t>
  </si>
  <si>
    <t>Lymphocyte antigen 6 family member E</t>
  </si>
  <si>
    <t>ENSMUSG00000029082</t>
  </si>
  <si>
    <t>Bst1</t>
  </si>
  <si>
    <t>Bone marrow stromal cell antigen 1</t>
  </si>
  <si>
    <t>ENSMUSG00000049988</t>
  </si>
  <si>
    <t>Lrrc25</t>
  </si>
  <si>
    <t>Leucine rich repeat containing 25</t>
  </si>
  <si>
    <t>ENSMUSG00000083041</t>
  </si>
  <si>
    <t>Gmfg-ps</t>
  </si>
  <si>
    <t>Glia maturation factor, gamma, pseudogene</t>
  </si>
  <si>
    <t>ENSMUSG00000049625</t>
  </si>
  <si>
    <t>Tifab</t>
  </si>
  <si>
    <t>TRAF-interacting protein with forkhead-associated domain, family member B</t>
  </si>
  <si>
    <t>ENSMUSG00000062939</t>
  </si>
  <si>
    <t>Stat4</t>
  </si>
  <si>
    <t>Signal transducer and activator of transcription 4</t>
  </si>
  <si>
    <t>ENSMUSG00000035385</t>
  </si>
  <si>
    <t>Ccl2</t>
  </si>
  <si>
    <t>C-C motif chemokine ligand 2</t>
  </si>
  <si>
    <t>ENSMUSG00000031389</t>
  </si>
  <si>
    <t>Arhgap4</t>
  </si>
  <si>
    <t>Rho GTPase activating protein 4</t>
  </si>
  <si>
    <t>ENSMUSG00000060216</t>
  </si>
  <si>
    <t>Arrb2</t>
  </si>
  <si>
    <t>Arrestin, beta 2</t>
  </si>
  <si>
    <t>ENSMUSG00000036905</t>
  </si>
  <si>
    <t>C1qb</t>
  </si>
  <si>
    <t>Complement component 1, q subcomponent, beta polypeptide</t>
  </si>
  <si>
    <t>ENSMUSG00000037649</t>
  </si>
  <si>
    <t>H2-DMa</t>
  </si>
  <si>
    <t>Histocompatibility 2, class II, locus DMa</t>
  </si>
  <si>
    <t>ENSMUSG00000060063</t>
  </si>
  <si>
    <t>Alox5ap</t>
  </si>
  <si>
    <t>Arachidonate 5-lipoxygenase activating protein</t>
  </si>
  <si>
    <t>ENSMUSG00000040010</t>
  </si>
  <si>
    <t>Slc7a5</t>
  </si>
  <si>
    <t>Solute carrier family 7 (cationic amino acid transporter, y+ system), member 5</t>
  </si>
  <si>
    <t>ENSMUSG00000105504</t>
  </si>
  <si>
    <t>Gbp5</t>
  </si>
  <si>
    <t>Guanylate binding protein 5</t>
  </si>
  <si>
    <t>ENSMUSG00000049502</t>
  </si>
  <si>
    <t>Dtx3l</t>
  </si>
  <si>
    <t>Deltex 3-like, E3 ubiquitin ligase</t>
  </si>
  <si>
    <t>ENSMUSG00000031246</t>
  </si>
  <si>
    <t>Sh3bgrl</t>
  </si>
  <si>
    <t>SH3-binding domain glutamic acid-rich protein like</t>
  </si>
  <si>
    <t>ENSMUSG00000021880</t>
  </si>
  <si>
    <t>Rnase6</t>
  </si>
  <si>
    <t>Ribonuclease, RNase A family, 6</t>
  </si>
  <si>
    <t>ENSMUSG00000045322</t>
  </si>
  <si>
    <t>Tlr9</t>
  </si>
  <si>
    <t>Toll-like receptor 9</t>
  </si>
  <si>
    <t>ENSMUSG00000022346</t>
  </si>
  <si>
    <t>Myc</t>
  </si>
  <si>
    <t>Myelocytomatosis oncogene</t>
  </si>
  <si>
    <t>ENSMUSG00000023092</t>
  </si>
  <si>
    <t>Fhl1</t>
  </si>
  <si>
    <t>Four and a half LIM domains 1</t>
  </si>
  <si>
    <t>ENSMUSG00000036896</t>
  </si>
  <si>
    <t>C1qc</t>
  </si>
  <si>
    <t>Complement component 1, q subcomponent, C chain</t>
  </si>
  <si>
    <t>ENSMUSG00000026896</t>
  </si>
  <si>
    <t>Ifih1</t>
  </si>
  <si>
    <t>Interferon induced with helicase C domain 1</t>
  </si>
  <si>
    <t>ENSMUSG00000029561</t>
  </si>
  <si>
    <t>Oasl2</t>
  </si>
  <si>
    <t>2'-5' oligoadenylate synthetase-like 2</t>
  </si>
  <si>
    <t>ENSMUSG00000036887</t>
  </si>
  <si>
    <t>C1qa</t>
  </si>
  <si>
    <t>Complement component 1, q subcomponent, alpha polypeptide</t>
  </si>
  <si>
    <t>ENSMUSG00000017830</t>
  </si>
  <si>
    <t>Dhx58</t>
  </si>
  <si>
    <t>DExH-box helicase 58</t>
  </si>
  <si>
    <t>ENSMUSG00000028599</t>
  </si>
  <si>
    <t>Tnfrsf1b</t>
  </si>
  <si>
    <t>Tumor necrosis factor receptor superfamily, member 1b</t>
  </si>
  <si>
    <t>ENSMUSG00000034947</t>
  </si>
  <si>
    <t>Tmem106a</t>
  </si>
  <si>
    <t>Transmembrane protein 106A</t>
  </si>
  <si>
    <t>ENSMUSG00000021728</t>
  </si>
  <si>
    <t>Emb</t>
  </si>
  <si>
    <t>Embigin</t>
  </si>
  <si>
    <t>ENSMUSG00000034641</t>
  </si>
  <si>
    <t>Cd300ld</t>
  </si>
  <si>
    <t>CD300 molecule like family member d</t>
  </si>
  <si>
    <t>ENSMUSG00000031838</t>
  </si>
  <si>
    <t>Ifi30</t>
  </si>
  <si>
    <t>Interferon gamma inducible protein 30</t>
  </si>
  <si>
    <t>ENSMUSG00000024737</t>
  </si>
  <si>
    <t>Slc15a3</t>
  </si>
  <si>
    <t>Solute carrier family 15, member 3</t>
  </si>
  <si>
    <t>ENSMUSG00000056529</t>
  </si>
  <si>
    <t>Ptafr</t>
  </si>
  <si>
    <t>Platelet-activating factor receptor</t>
  </si>
  <si>
    <t>ENSMUSG00000018168</t>
  </si>
  <si>
    <t>Ikzf3</t>
  </si>
  <si>
    <t>IKAROS family zinc finger 3</t>
  </si>
  <si>
    <t>ENSMUSG00000023274</t>
  </si>
  <si>
    <t>Cd4</t>
  </si>
  <si>
    <t>CD4 antigen</t>
  </si>
  <si>
    <t>ENSMUSG00000022831</t>
  </si>
  <si>
    <t>Hcls1</t>
  </si>
  <si>
    <t>Hematopoietic cell specific Lyn substrate 1</t>
  </si>
  <si>
    <t>ENSMUSG00000001281</t>
  </si>
  <si>
    <t>Itgb7</t>
  </si>
  <si>
    <t>Integrin beta 7</t>
  </si>
  <si>
    <t>ENSMUSG00000032359</t>
  </si>
  <si>
    <t>Ctsh</t>
  </si>
  <si>
    <t>Cathepsin H</t>
  </si>
  <si>
    <t>ENSMUSG00000030220</t>
  </si>
  <si>
    <t>Arhgdib</t>
  </si>
  <si>
    <t>Rho, GDP dissociation inhibitor beta</t>
  </si>
  <si>
    <t>ENSMUSG00000027750</t>
  </si>
  <si>
    <t>Postn</t>
  </si>
  <si>
    <t>Periostin, osteoblast specific factor</t>
  </si>
  <si>
    <t>ENSMUSG00000062524</t>
  </si>
  <si>
    <t>Ncr1</t>
  </si>
  <si>
    <t>Natural cytotoxicity triggering receptor 1</t>
  </si>
  <si>
    <t>ENSMUSG00000004552</t>
  </si>
  <si>
    <t>Ctse</t>
  </si>
  <si>
    <t>Cathepsin E</t>
  </si>
  <si>
    <t>ENSMUSG00000071203</t>
  </si>
  <si>
    <t>Naip5</t>
  </si>
  <si>
    <t>NLR family, apoptosis inhibitory protein 5</t>
  </si>
  <si>
    <t>ENSMUSG00000029298</t>
  </si>
  <si>
    <t>Gbp9</t>
  </si>
  <si>
    <t>Guanylate-binding protein 9</t>
  </si>
  <si>
    <t>Ensembl_ID</t>
  </si>
  <si>
    <t>Regulation</t>
  </si>
  <si>
    <t>PBS_1</t>
  </si>
  <si>
    <t>PBS_2</t>
  </si>
  <si>
    <t>PBS_3</t>
  </si>
  <si>
    <t>PBS_4</t>
  </si>
  <si>
    <t>PBS_5</t>
  </si>
  <si>
    <t>PBS_6</t>
  </si>
  <si>
    <t>CVB3_1</t>
  </si>
  <si>
    <t>CVB3_2</t>
  </si>
  <si>
    <t>CVB3_3</t>
  </si>
  <si>
    <t>CVB3_4</t>
  </si>
  <si>
    <t>CVB3_5</t>
  </si>
  <si>
    <t>CVB3_6</t>
  </si>
  <si>
    <t>Up</t>
  </si>
  <si>
    <t>Ccl24</t>
  </si>
  <si>
    <t>ENSMUSG00000004814</t>
  </si>
  <si>
    <t>None</t>
  </si>
  <si>
    <t>Tnfsf14</t>
  </si>
  <si>
    <t>ENSMUSG00000005824</t>
  </si>
  <si>
    <t>Csf1</t>
  </si>
  <si>
    <t>ENSMUSG00000014599</t>
  </si>
  <si>
    <t>Il19</t>
  </si>
  <si>
    <t>ENSMUSG00000016524</t>
  </si>
  <si>
    <t>Il10</t>
  </si>
  <si>
    <t>ENSMUSG00000016529</t>
  </si>
  <si>
    <t>Ccl6</t>
  </si>
  <si>
    <t>ENSMUSG00000018927</t>
  </si>
  <si>
    <t>Ccl4</t>
  </si>
  <si>
    <t>ENSMUSG00000018930</t>
  </si>
  <si>
    <t>Ccl9</t>
  </si>
  <si>
    <t>ENSMUSG00000019122</t>
  </si>
  <si>
    <t>Il20ra</t>
  </si>
  <si>
    <t>ENSMUSG00000020007</t>
  </si>
  <si>
    <t>Ccl11</t>
  </si>
  <si>
    <t>ENSMUSG00000020676</t>
  </si>
  <si>
    <t>Ccl1</t>
  </si>
  <si>
    <t>ENSMUSG00000020702</t>
  </si>
  <si>
    <t>Cxcl14</t>
  </si>
  <si>
    <t>ENSMUSG00000021508</t>
  </si>
  <si>
    <t>Il6st</t>
  </si>
  <si>
    <t>ENSMUSG00000021756</t>
  </si>
  <si>
    <t>Tnfrsf10b</t>
  </si>
  <si>
    <t>ENSMUSG00000022074</t>
  </si>
  <si>
    <t>Cxcl13</t>
  </si>
  <si>
    <t>ENSMUSG00000023078</t>
  </si>
  <si>
    <t>Ccl25</t>
  </si>
  <si>
    <t>ENSMUSG00000023235</t>
  </si>
  <si>
    <t>Tnf</t>
  </si>
  <si>
    <t>ENSMUSG00000024401</t>
  </si>
  <si>
    <t>Lta</t>
  </si>
  <si>
    <t>ENSMUSG00000024402</t>
  </si>
  <si>
    <t>Csf1r</t>
  </si>
  <si>
    <t>ENSMUSG00000024621</t>
  </si>
  <si>
    <t>Il6</t>
  </si>
  <si>
    <t>ENSMUSG00000025746</t>
  </si>
  <si>
    <t>Ccr1</t>
  </si>
  <si>
    <t>ENSMUSG00000025804</t>
  </si>
  <si>
    <t>Il18r1</t>
  </si>
  <si>
    <t>ENSMUSG00000026070</t>
  </si>
  <si>
    <t>Ccl20</t>
  </si>
  <si>
    <t>ENSMUSG00000026166</t>
  </si>
  <si>
    <t>Cxcr2</t>
  </si>
  <si>
    <t>ENSMUSG00000026180</t>
  </si>
  <si>
    <t>Il20</t>
  </si>
  <si>
    <t>ENSMUSG00000026416</t>
  </si>
  <si>
    <t>Xcl1</t>
  </si>
  <si>
    <t>ENSMUSG00000026573</t>
  </si>
  <si>
    <t>Il2ra</t>
  </si>
  <si>
    <t>ENSMUSG00000026770</t>
  </si>
  <si>
    <t>Il2</t>
  </si>
  <si>
    <t>ENSMUSG00000027720</t>
  </si>
  <si>
    <t>Il6ra</t>
  </si>
  <si>
    <t>ENSMUSG00000027947</t>
  </si>
  <si>
    <t>Cxcl5</t>
  </si>
  <si>
    <t>ENSMUSG00000029371</t>
  </si>
  <si>
    <t>Ppbp</t>
  </si>
  <si>
    <t>ENSMUSG00000029372</t>
  </si>
  <si>
    <t>Pf4</t>
  </si>
  <si>
    <t>ENSMUSG00000029373</t>
  </si>
  <si>
    <t>Cxcl3</t>
  </si>
  <si>
    <t>ENSMUSG00000029379</t>
  </si>
  <si>
    <t>Cxcl1</t>
  </si>
  <si>
    <t>ENSMUSG00000029380</t>
  </si>
  <si>
    <t>Ccr9</t>
  </si>
  <si>
    <t>ENSMUSG00000029530</t>
  </si>
  <si>
    <t>Ltbr</t>
  </si>
  <si>
    <t>ENSMUSG00000030339</t>
  </si>
  <si>
    <t>Tnfrsf1a</t>
  </si>
  <si>
    <t>ENSMUSG00000030341</t>
  </si>
  <si>
    <t>Il2rg</t>
  </si>
  <si>
    <t>ENSMUSG00000031304</t>
  </si>
  <si>
    <t>Il34</t>
  </si>
  <si>
    <t>ENSMUSG00000031750</t>
  </si>
  <si>
    <t>Cx3cl1</t>
  </si>
  <si>
    <t>ENSMUSG00000031778</t>
  </si>
  <si>
    <t>Ccl22</t>
  </si>
  <si>
    <t>ENSMUSG00000031779</t>
  </si>
  <si>
    <t>Ccl17</t>
  </si>
  <si>
    <t>ENSMUSG00000031780</t>
  </si>
  <si>
    <t>Ccr3</t>
  </si>
  <si>
    <t>ENSMUSG00000035448</t>
  </si>
  <si>
    <t>Il22ra1</t>
  </si>
  <si>
    <t>ENSMUSG00000037157</t>
  </si>
  <si>
    <t>Ccr7</t>
  </si>
  <si>
    <t>ENSMUSG00000037944</t>
  </si>
  <si>
    <t>Il18</t>
  </si>
  <si>
    <t>ENSMUSG00000039217</t>
  </si>
  <si>
    <t>Tnfsf10</t>
  </si>
  <si>
    <t>ENSMUSG00000039304</t>
  </si>
  <si>
    <t>Ccr6</t>
  </si>
  <si>
    <t>ENSMUSG00000040899</t>
  </si>
  <si>
    <t>Ccr8</t>
  </si>
  <si>
    <t>ENSMUSG00000042262</t>
  </si>
  <si>
    <t>Tnfrsf14</t>
  </si>
  <si>
    <t>ENSMUSG00000042333</t>
  </si>
  <si>
    <t>Ccr10</t>
  </si>
  <si>
    <t>ENSMUSG00000044052</t>
  </si>
  <si>
    <t>Il20rb</t>
  </si>
  <si>
    <t>ENSMUSG00000044244</t>
  </si>
  <si>
    <t>Ackr3</t>
  </si>
  <si>
    <t>ENSMUSG00000044337</t>
  </si>
  <si>
    <t>Cxcr4</t>
  </si>
  <si>
    <t>ENSMUSG00000045382</t>
  </si>
  <si>
    <t>Cxcr5</t>
  </si>
  <si>
    <t>ENSMUSG00000047880</t>
  </si>
  <si>
    <t>Ccr4</t>
  </si>
  <si>
    <t>ENSMUSG00000047898</t>
  </si>
  <si>
    <t>Cxcr1</t>
  </si>
  <si>
    <t>ENSMUSG00000048480</t>
  </si>
  <si>
    <t>Cx3cr1</t>
  </si>
  <si>
    <t>ENSMUSG00000052336</t>
  </si>
  <si>
    <t>Cxcl2</t>
  </si>
  <si>
    <t>ENSMUSG00000058427</t>
  </si>
  <si>
    <t>Xcr1</t>
  </si>
  <si>
    <t>ENSMUSG00000060509</t>
  </si>
  <si>
    <t>Cxcl12</t>
  </si>
  <si>
    <t>ENSMUSG00000061353</t>
  </si>
  <si>
    <t>Ccr1l1</t>
  </si>
  <si>
    <t>ENSMUSG00000064039</t>
  </si>
  <si>
    <t>Ccl26</t>
  </si>
  <si>
    <t>ENSMUSG00000070464</t>
  </si>
  <si>
    <t>Ccl28</t>
  </si>
  <si>
    <t>ENSMUSG00000074715</t>
  </si>
  <si>
    <t>Ackr4</t>
  </si>
  <si>
    <t>ENSMUSG00000079355</t>
  </si>
  <si>
    <t>Log2FC</t>
  </si>
  <si>
    <t>Adj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</si>
</sst>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1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DC922-B60A-4FE8-BF98-52BF1674F95A}">
  <dimension ref="A1:Q80"/>
  <sheetViews>
    <sheetView tabSelected="1" workbookViewId="0">
      <selection activeCell="Q3" sqref="Q3"/>
    </sheetView>
  </sheetViews>
  <sheetFormatPr defaultRowHeight="14.4" x14ac:dyDescent="0.3"/>
  <cols>
    <col min="16" max="16" width="24.77734375" customWidth="1"/>
  </cols>
  <sheetData>
    <row r="1" spans="1:17" x14ac:dyDescent="0.3">
      <c r="B1" t="s">
        <v>742</v>
      </c>
      <c r="C1" t="s">
        <v>743</v>
      </c>
      <c r="D1" t="s">
        <v>744</v>
      </c>
      <c r="E1" t="s">
        <v>745</v>
      </c>
      <c r="F1" t="s">
        <v>746</v>
      </c>
      <c r="G1" t="s">
        <v>747</v>
      </c>
      <c r="H1" t="s">
        <v>748</v>
      </c>
      <c r="I1" t="s">
        <v>749</v>
      </c>
      <c r="J1" t="s">
        <v>750</v>
      </c>
      <c r="K1" t="s">
        <v>751</v>
      </c>
      <c r="L1" t="s">
        <v>752</v>
      </c>
      <c r="M1" t="s">
        <v>753</v>
      </c>
      <c r="N1" t="s">
        <v>754</v>
      </c>
      <c r="O1" t="s">
        <v>755</v>
      </c>
      <c r="P1" t="s">
        <v>889</v>
      </c>
      <c r="Q1" t="s">
        <v>888</v>
      </c>
    </row>
    <row r="2" spans="1:17" x14ac:dyDescent="0.3">
      <c r="A2" t="s">
        <v>133</v>
      </c>
      <c r="B2" t="s">
        <v>132</v>
      </c>
      <c r="C2" t="s">
        <v>756</v>
      </c>
      <c r="D2">
        <v>5.09971</v>
      </c>
      <c r="E2">
        <v>4.8665099999999999</v>
      </c>
      <c r="F2">
        <v>5.1396899999999999</v>
      </c>
      <c r="G2">
        <v>4.8181900000000004</v>
      </c>
      <c r="H2">
        <v>4.6800899999999999</v>
      </c>
      <c r="I2">
        <v>4.7084999999999999</v>
      </c>
      <c r="J2">
        <v>7.62399</v>
      </c>
      <c r="K2">
        <v>6.3327299999999997</v>
      </c>
      <c r="L2">
        <v>6.3930499999999997</v>
      </c>
      <c r="M2">
        <v>6.6298199999999996</v>
      </c>
      <c r="N2">
        <v>6.72262</v>
      </c>
      <c r="O2">
        <v>7.5223599999999999</v>
      </c>
      <c r="P2">
        <f>_xlfn.XLOOKUP($A2, DEG!$B:$B, DEG!$E:$E, "not sig")</f>
        <v>6.0734934770262902E-5</v>
      </c>
      <c r="Q2">
        <f>IFERROR(VALUE(_xlfn.XLOOKUP($A2, DEG!$B:$B, DEG!$D:$D)), "")</f>
        <v>1.9853133333333299</v>
      </c>
    </row>
    <row r="3" spans="1:17" x14ac:dyDescent="0.3">
      <c r="A3" t="s">
        <v>757</v>
      </c>
      <c r="B3" t="s">
        <v>758</v>
      </c>
      <c r="C3" t="s">
        <v>759</v>
      </c>
      <c r="D3">
        <v>6.1165700000000003</v>
      </c>
      <c r="E3">
        <v>5.7585300000000004</v>
      </c>
      <c r="F3">
        <v>5.7407899999999996</v>
      </c>
      <c r="G3">
        <v>6.2695100000000004</v>
      </c>
      <c r="H3">
        <v>6.1222399999999997</v>
      </c>
      <c r="I3">
        <v>5.9817999999999998</v>
      </c>
      <c r="J3">
        <v>5.6979800000000003</v>
      </c>
      <c r="K3">
        <v>5.35846</v>
      </c>
      <c r="L3">
        <v>5.56609</v>
      </c>
      <c r="M3">
        <v>5.8921999999999999</v>
      </c>
      <c r="N3">
        <v>5.9453399999999998</v>
      </c>
      <c r="O3">
        <v>5.8085800000000001</v>
      </c>
      <c r="P3" t="str">
        <f>_xlfn.XLOOKUP($A3, DEG!$B:$B, DEG!$E:$E, "not sig")</f>
        <v>not sig</v>
      </c>
      <c r="Q3" t="str">
        <f>IFERROR(VALUE(_xlfn.XLOOKUP($A3, DEG!$B:$B, DEG!$D:$D)), "")</f>
        <v/>
      </c>
    </row>
    <row r="4" spans="1:17" x14ac:dyDescent="0.3">
      <c r="A4" t="s">
        <v>760</v>
      </c>
      <c r="B4" t="s">
        <v>761</v>
      </c>
      <c r="C4" t="s">
        <v>759</v>
      </c>
      <c r="D4">
        <v>4.4067800000000004</v>
      </c>
      <c r="E4">
        <v>4.3681299999999998</v>
      </c>
      <c r="F4">
        <v>4.4453800000000001</v>
      </c>
      <c r="G4">
        <v>4.6164699999999996</v>
      </c>
      <c r="H4">
        <v>4.4955499999999997</v>
      </c>
      <c r="I4">
        <v>4.5819099999999997</v>
      </c>
      <c r="J4">
        <v>4.2648000000000001</v>
      </c>
      <c r="K4">
        <v>4.5756699999999997</v>
      </c>
      <c r="L4">
        <v>4.4836400000000003</v>
      </c>
      <c r="M4">
        <v>4.4596299999999998</v>
      </c>
      <c r="N4">
        <v>4.4842500000000003</v>
      </c>
      <c r="O4">
        <v>4.4596299999999998</v>
      </c>
      <c r="P4" t="str">
        <f>_xlfn.XLOOKUP($A4, DEG!$B:$B, DEG!$E:$E, "not sig")</f>
        <v>not sig</v>
      </c>
      <c r="Q4" t="str">
        <f>IFERROR(VALUE(_xlfn.XLOOKUP($A4, DEG!$B:$B, DEG!$D:$D)), "")</f>
        <v/>
      </c>
    </row>
    <row r="5" spans="1:17" x14ac:dyDescent="0.3">
      <c r="A5" t="s">
        <v>16</v>
      </c>
      <c r="B5" t="s">
        <v>15</v>
      </c>
      <c r="C5" t="s">
        <v>756</v>
      </c>
      <c r="D5">
        <v>4.1069000000000004</v>
      </c>
      <c r="E5">
        <v>4.1538199999999996</v>
      </c>
      <c r="F5">
        <v>4.6053800000000003</v>
      </c>
      <c r="G5">
        <v>4.5843400000000001</v>
      </c>
      <c r="H5">
        <v>4.407</v>
      </c>
      <c r="I5">
        <v>3.8972199999999999</v>
      </c>
      <c r="J5">
        <v>8.2342499999999994</v>
      </c>
      <c r="K5">
        <v>7.1098299999999997</v>
      </c>
      <c r="L5">
        <v>6.6448799999999997</v>
      </c>
      <c r="M5">
        <v>7.8129</v>
      </c>
      <c r="N5">
        <v>7.07789</v>
      </c>
      <c r="O5">
        <v>8.6940500000000007</v>
      </c>
      <c r="P5">
        <f>_xlfn.XLOOKUP($A5, DEG!$B:$B, DEG!$E:$E, "not sig")</f>
        <v>1.5363127448019001E-5</v>
      </c>
      <c r="Q5">
        <f>IFERROR(VALUE(_xlfn.XLOOKUP($A5, DEG!$B:$B, DEG!$D:$D)), "")</f>
        <v>3.3031899999999998</v>
      </c>
    </row>
    <row r="6" spans="1:17" x14ac:dyDescent="0.3">
      <c r="A6" t="s">
        <v>762</v>
      </c>
      <c r="B6" t="s">
        <v>763</v>
      </c>
      <c r="C6" t="s">
        <v>759</v>
      </c>
      <c r="D6">
        <v>7.7074699999999998</v>
      </c>
      <c r="E6">
        <v>7.6345299999999998</v>
      </c>
      <c r="F6">
        <v>7.6341299999999999</v>
      </c>
      <c r="G6">
        <v>7.7923999999999998</v>
      </c>
      <c r="H6">
        <v>7.6862199999999996</v>
      </c>
      <c r="I6">
        <v>7.8193900000000003</v>
      </c>
      <c r="J6">
        <v>7.8010599999999997</v>
      </c>
      <c r="K6">
        <v>7.6643699999999999</v>
      </c>
      <c r="L6">
        <v>7.7130799999999997</v>
      </c>
      <c r="M6">
        <v>7.66425</v>
      </c>
      <c r="N6">
        <v>7.9665100000000004</v>
      </c>
      <c r="O6">
        <v>7.90611</v>
      </c>
      <c r="P6" t="str">
        <f>_xlfn.XLOOKUP($A6, DEG!$B:$B, DEG!$E:$E, "not sig")</f>
        <v>not sig</v>
      </c>
      <c r="Q6" t="str">
        <f>IFERROR(VALUE(_xlfn.XLOOKUP($A6, DEG!$B:$B, DEG!$D:$D)), "")</f>
        <v/>
      </c>
    </row>
    <row r="7" spans="1:17" x14ac:dyDescent="0.3">
      <c r="A7" t="s">
        <v>764</v>
      </c>
      <c r="B7" t="s">
        <v>765</v>
      </c>
      <c r="C7" t="s">
        <v>759</v>
      </c>
      <c r="D7">
        <v>4.18682</v>
      </c>
      <c r="E7">
        <v>4.2546600000000003</v>
      </c>
      <c r="F7">
        <v>4.24261</v>
      </c>
      <c r="G7">
        <v>4.4308100000000001</v>
      </c>
      <c r="H7">
        <v>4.2802300000000004</v>
      </c>
      <c r="I7">
        <v>4.3194600000000003</v>
      </c>
      <c r="J7">
        <v>4.2359600000000004</v>
      </c>
      <c r="K7">
        <v>4.2039299999999997</v>
      </c>
      <c r="L7">
        <v>4.28735</v>
      </c>
      <c r="M7">
        <v>4.20641</v>
      </c>
      <c r="N7">
        <v>4.0012999999999996</v>
      </c>
      <c r="O7">
        <v>4.1534399999999998</v>
      </c>
      <c r="P7" t="str">
        <f>_xlfn.XLOOKUP($A7, DEG!$B:$B, DEG!$E:$E, "not sig")</f>
        <v>not sig</v>
      </c>
      <c r="Q7" t="str">
        <f>IFERROR(VALUE(_xlfn.XLOOKUP($A7, DEG!$B:$B, DEG!$D:$D)), "")</f>
        <v/>
      </c>
    </row>
    <row r="8" spans="1:17" x14ac:dyDescent="0.3">
      <c r="A8" t="s">
        <v>766</v>
      </c>
      <c r="B8" t="s">
        <v>767</v>
      </c>
      <c r="C8" t="s">
        <v>759</v>
      </c>
      <c r="D8">
        <v>3.1435</v>
      </c>
      <c r="E8">
        <v>3.2183199999999998</v>
      </c>
      <c r="F8">
        <v>3.2629100000000002</v>
      </c>
      <c r="G8">
        <v>3.1472500000000001</v>
      </c>
      <c r="H8">
        <v>3.05925</v>
      </c>
      <c r="I8">
        <v>3.3788100000000001</v>
      </c>
      <c r="J8">
        <v>3.9230900000000002</v>
      </c>
      <c r="K8">
        <v>3.0802900000000002</v>
      </c>
      <c r="L8">
        <v>3.3330199999999999</v>
      </c>
      <c r="M8">
        <v>3.49058</v>
      </c>
      <c r="N8">
        <v>3.25752</v>
      </c>
      <c r="O8">
        <v>3.5975299999999999</v>
      </c>
      <c r="P8" t="str">
        <f>_xlfn.XLOOKUP($A8, DEG!$B:$B, DEG!$E:$E, "not sig")</f>
        <v>not sig</v>
      </c>
      <c r="Q8" t="str">
        <f>IFERROR(VALUE(_xlfn.XLOOKUP($A8, DEG!$B:$B, DEG!$D:$D)), "")</f>
        <v/>
      </c>
    </row>
    <row r="9" spans="1:17" x14ac:dyDescent="0.3">
      <c r="A9" t="s">
        <v>768</v>
      </c>
      <c r="B9" t="s">
        <v>769</v>
      </c>
      <c r="C9" t="s">
        <v>759</v>
      </c>
      <c r="D9">
        <v>8.4125999999999994</v>
      </c>
      <c r="E9">
        <v>8.4389800000000008</v>
      </c>
      <c r="F9">
        <v>8.4619599999999995</v>
      </c>
      <c r="G9">
        <v>8.6301900000000007</v>
      </c>
      <c r="H9">
        <v>8.6616499999999998</v>
      </c>
      <c r="I9">
        <v>8.3643999999999998</v>
      </c>
      <c r="J9">
        <v>8.9144699999999997</v>
      </c>
      <c r="K9">
        <v>8.7498299999999993</v>
      </c>
      <c r="L9">
        <v>8.5064200000000003</v>
      </c>
      <c r="M9">
        <v>9.2144499999999994</v>
      </c>
      <c r="N9">
        <v>9.13232</v>
      </c>
      <c r="O9">
        <v>9.1948799999999995</v>
      </c>
      <c r="P9" t="str">
        <f>_xlfn.XLOOKUP($A9, DEG!$B:$B, DEG!$E:$E, "not sig")</f>
        <v>not sig</v>
      </c>
      <c r="Q9" t="str">
        <f>IFERROR(VALUE(_xlfn.XLOOKUP($A9, DEG!$B:$B, DEG!$D:$D)), "")</f>
        <v/>
      </c>
    </row>
    <row r="10" spans="1:17" x14ac:dyDescent="0.3">
      <c r="A10" t="s">
        <v>770</v>
      </c>
      <c r="B10" t="s">
        <v>771</v>
      </c>
      <c r="C10" t="s">
        <v>759</v>
      </c>
      <c r="D10">
        <v>5.3464400000000003</v>
      </c>
      <c r="E10">
        <v>5.3053699999999999</v>
      </c>
      <c r="F10">
        <v>5.2118599999999997</v>
      </c>
      <c r="G10">
        <v>5.3648800000000003</v>
      </c>
      <c r="H10">
        <v>5.2392399999999997</v>
      </c>
      <c r="I10">
        <v>5.4318400000000002</v>
      </c>
      <c r="J10">
        <v>5.7774400000000004</v>
      </c>
      <c r="K10">
        <v>5.39825</v>
      </c>
      <c r="L10">
        <v>5.3749599999999997</v>
      </c>
      <c r="M10">
        <v>5.4560899999999997</v>
      </c>
      <c r="N10">
        <v>5.4660399999999996</v>
      </c>
      <c r="O10">
        <v>6.1151600000000004</v>
      </c>
      <c r="P10" t="str">
        <f>_xlfn.XLOOKUP($A10, DEG!$B:$B, DEG!$E:$E, "not sig")</f>
        <v>not sig</v>
      </c>
      <c r="Q10" t="str">
        <f>IFERROR(VALUE(_xlfn.XLOOKUP($A10, DEG!$B:$B, DEG!$D:$D)), "")</f>
        <v/>
      </c>
    </row>
    <row r="11" spans="1:17" x14ac:dyDescent="0.3">
      <c r="A11" t="s">
        <v>772</v>
      </c>
      <c r="B11" t="s">
        <v>773</v>
      </c>
      <c r="C11" t="s">
        <v>759</v>
      </c>
      <c r="D11">
        <v>7.3759300000000003</v>
      </c>
      <c r="E11">
        <v>7.2109899999999998</v>
      </c>
      <c r="F11">
        <v>7.1306000000000003</v>
      </c>
      <c r="G11">
        <v>7.7552099999999999</v>
      </c>
      <c r="H11">
        <v>7.5078399999999998</v>
      </c>
      <c r="I11">
        <v>7.3430799999999996</v>
      </c>
      <c r="J11">
        <v>7.8474000000000004</v>
      </c>
      <c r="K11">
        <v>7.6295400000000004</v>
      </c>
      <c r="L11">
        <v>7.4189699999999998</v>
      </c>
      <c r="M11">
        <v>8.1939299999999999</v>
      </c>
      <c r="N11">
        <v>7.8641100000000002</v>
      </c>
      <c r="O11">
        <v>8.14466</v>
      </c>
      <c r="P11" t="str">
        <f>_xlfn.XLOOKUP($A11, DEG!$B:$B, DEG!$E:$E, "not sig")</f>
        <v>not sig</v>
      </c>
      <c r="Q11" t="str">
        <f>IFERROR(VALUE(_xlfn.XLOOKUP($A11, DEG!$B:$B, DEG!$D:$D)), "")</f>
        <v/>
      </c>
    </row>
    <row r="12" spans="1:17" x14ac:dyDescent="0.3">
      <c r="A12" t="s">
        <v>774</v>
      </c>
      <c r="B12" t="s">
        <v>775</v>
      </c>
      <c r="C12" t="s">
        <v>759</v>
      </c>
      <c r="D12">
        <v>3.5263300000000002</v>
      </c>
      <c r="E12">
        <v>3.39744</v>
      </c>
      <c r="F12">
        <v>3.7987299999999999</v>
      </c>
      <c r="G12">
        <v>4.11557</v>
      </c>
      <c r="H12">
        <v>3.8734700000000002</v>
      </c>
      <c r="I12">
        <v>3.7762199999999999</v>
      </c>
      <c r="J12">
        <v>3.8214000000000001</v>
      </c>
      <c r="K12">
        <v>3.50644</v>
      </c>
      <c r="L12">
        <v>4.0225</v>
      </c>
      <c r="M12">
        <v>3.6998000000000002</v>
      </c>
      <c r="N12">
        <v>3.61727</v>
      </c>
      <c r="O12">
        <v>3.6907899999999998</v>
      </c>
      <c r="P12" t="str">
        <f>_xlfn.XLOOKUP($A12, DEG!$B:$B, DEG!$E:$E, "not sig")</f>
        <v>not sig</v>
      </c>
      <c r="Q12" t="str">
        <f>IFERROR(VALUE(_xlfn.XLOOKUP($A12, DEG!$B:$B, DEG!$D:$D)), "")</f>
        <v/>
      </c>
    </row>
    <row r="13" spans="1:17" x14ac:dyDescent="0.3">
      <c r="A13" t="s">
        <v>776</v>
      </c>
      <c r="B13" t="s">
        <v>777</v>
      </c>
      <c r="C13" t="s">
        <v>759</v>
      </c>
      <c r="D13">
        <v>6.0419299999999998</v>
      </c>
      <c r="E13">
        <v>5.9754300000000002</v>
      </c>
      <c r="F13">
        <v>5.8812699999999998</v>
      </c>
      <c r="G13">
        <v>6.1819899999999999</v>
      </c>
      <c r="H13">
        <v>5.7539800000000003</v>
      </c>
      <c r="I13">
        <v>5.9953599999999998</v>
      </c>
      <c r="J13">
        <v>6.3434499999999998</v>
      </c>
      <c r="K13">
        <v>6.0041200000000003</v>
      </c>
      <c r="L13">
        <v>5.9455999999999998</v>
      </c>
      <c r="M13">
        <v>6.4396899999999997</v>
      </c>
      <c r="N13">
        <v>6.6891499999999997</v>
      </c>
      <c r="O13">
        <v>6.5248400000000002</v>
      </c>
      <c r="P13" t="str">
        <f>_xlfn.XLOOKUP($A13, DEG!$B:$B, DEG!$E:$E, "not sig")</f>
        <v>not sig</v>
      </c>
      <c r="Q13" t="str">
        <f>IFERROR(VALUE(_xlfn.XLOOKUP($A13, DEG!$B:$B, DEG!$D:$D)), "")</f>
        <v/>
      </c>
    </row>
    <row r="14" spans="1:17" x14ac:dyDescent="0.3">
      <c r="A14" t="s">
        <v>778</v>
      </c>
      <c r="B14" t="s">
        <v>779</v>
      </c>
      <c r="C14" t="s">
        <v>759</v>
      </c>
      <c r="D14">
        <v>5.1689400000000001</v>
      </c>
      <c r="E14">
        <v>5.1148100000000003</v>
      </c>
      <c r="F14">
        <v>5.1181299999999998</v>
      </c>
      <c r="G14">
        <v>4.9724599999999999</v>
      </c>
      <c r="H14">
        <v>5.2183799999999998</v>
      </c>
      <c r="I14">
        <v>5.0801499999999997</v>
      </c>
      <c r="J14">
        <v>4.9772499999999997</v>
      </c>
      <c r="K14">
        <v>5.0446499999999999</v>
      </c>
      <c r="L14">
        <v>5.0149999999999997</v>
      </c>
      <c r="M14">
        <v>5.2608800000000002</v>
      </c>
      <c r="N14">
        <v>4.9873099999999999</v>
      </c>
      <c r="O14">
        <v>5.0292500000000002</v>
      </c>
      <c r="P14" t="str">
        <f>_xlfn.XLOOKUP($A14, DEG!$B:$B, DEG!$E:$E, "not sig")</f>
        <v>not sig</v>
      </c>
      <c r="Q14" t="str">
        <f>IFERROR(VALUE(_xlfn.XLOOKUP($A14, DEG!$B:$B, DEG!$D:$D)), "")</f>
        <v/>
      </c>
    </row>
    <row r="15" spans="1:17" x14ac:dyDescent="0.3">
      <c r="A15" t="s">
        <v>780</v>
      </c>
      <c r="B15" t="s">
        <v>781</v>
      </c>
      <c r="C15" t="s">
        <v>759</v>
      </c>
      <c r="D15">
        <v>6.3889199999999997</v>
      </c>
      <c r="E15">
        <v>6.58765</v>
      </c>
      <c r="F15">
        <v>6.4547400000000001</v>
      </c>
      <c r="G15">
        <v>7.6178100000000004</v>
      </c>
      <c r="H15">
        <v>7.1965300000000001</v>
      </c>
      <c r="I15">
        <v>7.1864499999999998</v>
      </c>
      <c r="J15">
        <v>6.8951000000000002</v>
      </c>
      <c r="K15">
        <v>6.7840400000000001</v>
      </c>
      <c r="L15">
        <v>6.0493100000000002</v>
      </c>
      <c r="M15">
        <v>7.6019300000000003</v>
      </c>
      <c r="N15">
        <v>7.1973399999999996</v>
      </c>
      <c r="O15">
        <v>7.6242299999999998</v>
      </c>
      <c r="P15" t="str">
        <f>_xlfn.XLOOKUP($A15, DEG!$B:$B, DEG!$E:$E, "not sig")</f>
        <v>not sig</v>
      </c>
      <c r="Q15" t="str">
        <f>IFERROR(VALUE(_xlfn.XLOOKUP($A15, DEG!$B:$B, DEG!$D:$D)), "")</f>
        <v/>
      </c>
    </row>
    <row r="16" spans="1:17" x14ac:dyDescent="0.3">
      <c r="A16" t="s">
        <v>782</v>
      </c>
      <c r="B16" t="s">
        <v>783</v>
      </c>
      <c r="C16" t="s">
        <v>759</v>
      </c>
      <c r="D16">
        <v>10.3034</v>
      </c>
      <c r="E16">
        <v>10.2905</v>
      </c>
      <c r="F16">
        <v>10.2539</v>
      </c>
      <c r="G16">
        <v>10.388199999999999</v>
      </c>
      <c r="H16">
        <v>10.2553</v>
      </c>
      <c r="I16">
        <v>10.3035</v>
      </c>
      <c r="J16">
        <v>10.5425</v>
      </c>
      <c r="K16">
        <v>10.363200000000001</v>
      </c>
      <c r="L16">
        <v>10.347899999999999</v>
      </c>
      <c r="M16">
        <v>10.5783</v>
      </c>
      <c r="N16">
        <v>10.4285</v>
      </c>
      <c r="O16">
        <v>10.6089</v>
      </c>
      <c r="P16" t="str">
        <f>_xlfn.XLOOKUP($A16, DEG!$B:$B, DEG!$E:$E, "not sig")</f>
        <v>not sig</v>
      </c>
      <c r="Q16" t="str">
        <f>IFERROR(VALUE(_xlfn.XLOOKUP($A16, DEG!$B:$B, DEG!$D:$D)), "")</f>
        <v/>
      </c>
    </row>
    <row r="17" spans="1:17" x14ac:dyDescent="0.3">
      <c r="A17" t="s">
        <v>784</v>
      </c>
      <c r="B17" t="s">
        <v>785</v>
      </c>
      <c r="C17" t="s">
        <v>759</v>
      </c>
      <c r="D17">
        <v>5.7614000000000001</v>
      </c>
      <c r="E17">
        <v>6.0191800000000004</v>
      </c>
      <c r="F17">
        <v>5.8706399999999999</v>
      </c>
      <c r="G17">
        <v>5.8761599999999996</v>
      </c>
      <c r="H17">
        <v>5.9547699999999999</v>
      </c>
      <c r="I17">
        <v>5.9453899999999997</v>
      </c>
      <c r="J17">
        <v>6.1806299999999998</v>
      </c>
      <c r="K17">
        <v>6.0263900000000001</v>
      </c>
      <c r="L17">
        <v>5.8150599999999999</v>
      </c>
      <c r="M17">
        <v>5.7958600000000002</v>
      </c>
      <c r="N17">
        <v>5.8136099999999997</v>
      </c>
      <c r="O17">
        <v>6.0959899999999996</v>
      </c>
      <c r="P17" t="str">
        <f>_xlfn.XLOOKUP($A17, DEG!$B:$B, DEG!$E:$E, "not sig")</f>
        <v>not sig</v>
      </c>
      <c r="Q17" t="str">
        <f>IFERROR(VALUE(_xlfn.XLOOKUP($A17, DEG!$B:$B, DEG!$D:$D)), "")</f>
        <v/>
      </c>
    </row>
    <row r="18" spans="1:17" x14ac:dyDescent="0.3">
      <c r="A18" t="s">
        <v>786</v>
      </c>
      <c r="B18" t="s">
        <v>787</v>
      </c>
      <c r="C18" t="s">
        <v>759</v>
      </c>
      <c r="D18">
        <v>6.4973599999999996</v>
      </c>
      <c r="E18">
        <v>5.5532599999999999</v>
      </c>
      <c r="F18">
        <v>6.2945099999999998</v>
      </c>
      <c r="G18">
        <v>7.1864800000000004</v>
      </c>
      <c r="H18">
        <v>6.1984899999999996</v>
      </c>
      <c r="I18">
        <v>5.9003300000000003</v>
      </c>
      <c r="J18">
        <v>6.1597099999999996</v>
      </c>
      <c r="K18">
        <v>6.6593299999999997</v>
      </c>
      <c r="L18">
        <v>6.3659999999999997</v>
      </c>
      <c r="M18">
        <v>8.4474999999999998</v>
      </c>
      <c r="N18">
        <v>8.8277999999999999</v>
      </c>
      <c r="O18">
        <v>6.77888</v>
      </c>
      <c r="P18" t="str">
        <f>_xlfn.XLOOKUP($A18, DEG!$B:$B, DEG!$E:$E, "not sig")</f>
        <v>not sig</v>
      </c>
      <c r="Q18" t="str">
        <f>IFERROR(VALUE(_xlfn.XLOOKUP($A18, DEG!$B:$B, DEG!$D:$D)), "")</f>
        <v/>
      </c>
    </row>
    <row r="19" spans="1:17" x14ac:dyDescent="0.3">
      <c r="A19" t="s">
        <v>788</v>
      </c>
      <c r="B19" t="s">
        <v>789</v>
      </c>
      <c r="C19" t="s">
        <v>759</v>
      </c>
      <c r="D19">
        <v>5.8912199999999997</v>
      </c>
      <c r="E19">
        <v>5.7676299999999996</v>
      </c>
      <c r="F19">
        <v>5.8602299999999996</v>
      </c>
      <c r="G19">
        <v>5.9412200000000004</v>
      </c>
      <c r="H19">
        <v>5.8875000000000002</v>
      </c>
      <c r="I19">
        <v>5.7635500000000004</v>
      </c>
      <c r="J19">
        <v>5.84239</v>
      </c>
      <c r="K19">
        <v>5.85527</v>
      </c>
      <c r="L19">
        <v>5.67638</v>
      </c>
      <c r="M19">
        <v>5.6293199999999999</v>
      </c>
      <c r="N19">
        <v>5.7109100000000002</v>
      </c>
      <c r="O19">
        <v>5.80661</v>
      </c>
      <c r="P19" t="str">
        <f>_xlfn.XLOOKUP($A19, DEG!$B:$B, DEG!$E:$E, "not sig")</f>
        <v>not sig</v>
      </c>
      <c r="Q19" t="str">
        <f>IFERROR(VALUE(_xlfn.XLOOKUP($A19, DEG!$B:$B, DEG!$D:$D)), "")</f>
        <v/>
      </c>
    </row>
    <row r="20" spans="1:17" x14ac:dyDescent="0.3">
      <c r="A20" t="s">
        <v>790</v>
      </c>
      <c r="B20" t="s">
        <v>791</v>
      </c>
      <c r="C20" t="s">
        <v>759</v>
      </c>
      <c r="D20">
        <v>5.5112399999999999</v>
      </c>
      <c r="E20">
        <v>5.3410299999999999</v>
      </c>
      <c r="F20">
        <v>5.3764799999999999</v>
      </c>
      <c r="G20">
        <v>5.3745000000000003</v>
      </c>
      <c r="H20">
        <v>5.6433400000000002</v>
      </c>
      <c r="I20">
        <v>5.6630599999999998</v>
      </c>
      <c r="J20">
        <v>6.4641200000000003</v>
      </c>
      <c r="K20">
        <v>5.8421000000000003</v>
      </c>
      <c r="L20">
        <v>6.2341800000000003</v>
      </c>
      <c r="M20">
        <v>5.6269499999999999</v>
      </c>
      <c r="N20">
        <v>5.7816299999999998</v>
      </c>
      <c r="O20">
        <v>6.6113799999999996</v>
      </c>
      <c r="P20" t="str">
        <f>_xlfn.XLOOKUP($A20, DEG!$B:$B, DEG!$E:$E, "not sig")</f>
        <v>not sig</v>
      </c>
      <c r="Q20" t="str">
        <f>IFERROR(VALUE(_xlfn.XLOOKUP($A20, DEG!$B:$B, DEG!$D:$D)), "")</f>
        <v/>
      </c>
    </row>
    <row r="21" spans="1:17" x14ac:dyDescent="0.3">
      <c r="A21" t="s">
        <v>792</v>
      </c>
      <c r="B21" t="s">
        <v>793</v>
      </c>
      <c r="C21" t="s">
        <v>759</v>
      </c>
      <c r="D21">
        <v>4.7634299999999996</v>
      </c>
      <c r="E21">
        <v>4.5212599999999998</v>
      </c>
      <c r="F21">
        <v>4.5841200000000004</v>
      </c>
      <c r="G21">
        <v>4.4844400000000002</v>
      </c>
      <c r="H21">
        <v>5.0019200000000001</v>
      </c>
      <c r="I21">
        <v>4.8597999999999999</v>
      </c>
      <c r="J21">
        <v>4.1542399999999997</v>
      </c>
      <c r="K21">
        <v>4.5194000000000001</v>
      </c>
      <c r="L21">
        <v>4.6132999999999997</v>
      </c>
      <c r="M21">
        <v>4.5125099999999998</v>
      </c>
      <c r="N21">
        <v>4.6317500000000003</v>
      </c>
      <c r="O21">
        <v>4.3296799999999998</v>
      </c>
      <c r="P21" t="str">
        <f>_xlfn.XLOOKUP($A21, DEG!$B:$B, DEG!$E:$E, "not sig")</f>
        <v>not sig</v>
      </c>
      <c r="Q21" t="str">
        <f>IFERROR(VALUE(_xlfn.XLOOKUP($A21, DEG!$B:$B, DEG!$D:$D)), "")</f>
        <v/>
      </c>
    </row>
    <row r="22" spans="1:17" x14ac:dyDescent="0.3">
      <c r="A22" t="s">
        <v>794</v>
      </c>
      <c r="B22" t="s">
        <v>795</v>
      </c>
      <c r="C22" t="s">
        <v>759</v>
      </c>
      <c r="D22">
        <v>8.4490800000000004</v>
      </c>
      <c r="E22">
        <v>8.5726800000000001</v>
      </c>
      <c r="F22">
        <v>8.4497300000000006</v>
      </c>
      <c r="G22">
        <v>8.52027</v>
      </c>
      <c r="H22">
        <v>8.6055600000000005</v>
      </c>
      <c r="I22">
        <v>8.4038000000000004</v>
      </c>
      <c r="J22">
        <v>9.2445000000000004</v>
      </c>
      <c r="K22">
        <v>8.9592600000000004</v>
      </c>
      <c r="L22">
        <v>8.7790400000000002</v>
      </c>
      <c r="M22">
        <v>9.2494700000000005</v>
      </c>
      <c r="N22">
        <v>9.0370699999999999</v>
      </c>
      <c r="O22">
        <v>9.5316899999999993</v>
      </c>
      <c r="P22" t="str">
        <f>_xlfn.XLOOKUP($A22, DEG!$B:$B, DEG!$E:$E, "not sig")</f>
        <v>not sig</v>
      </c>
      <c r="Q22" t="str">
        <f>IFERROR(VALUE(_xlfn.XLOOKUP($A22, DEG!$B:$B, DEG!$D:$D)), "")</f>
        <v/>
      </c>
    </row>
    <row r="23" spans="1:17" x14ac:dyDescent="0.3">
      <c r="A23" t="s">
        <v>796</v>
      </c>
      <c r="B23" t="s">
        <v>797</v>
      </c>
      <c r="C23" t="s">
        <v>759</v>
      </c>
      <c r="D23">
        <v>2.28084</v>
      </c>
      <c r="E23">
        <v>2.6374</v>
      </c>
      <c r="F23">
        <v>2.5646900000000001</v>
      </c>
      <c r="G23">
        <v>2.3262999999999998</v>
      </c>
      <c r="H23">
        <v>2.3905799999999999</v>
      </c>
      <c r="I23">
        <v>2.5352299999999999</v>
      </c>
      <c r="J23">
        <v>2.72342</v>
      </c>
      <c r="K23">
        <v>2.6063900000000002</v>
      </c>
      <c r="L23">
        <v>2.52074</v>
      </c>
      <c r="M23">
        <v>2.6286100000000001</v>
      </c>
      <c r="N23">
        <v>2.71028</v>
      </c>
      <c r="O23">
        <v>3.8060900000000002</v>
      </c>
      <c r="P23" t="str">
        <f>_xlfn.XLOOKUP($A23, DEG!$B:$B, DEG!$E:$E, "not sig")</f>
        <v>not sig</v>
      </c>
      <c r="Q23" t="str">
        <f>IFERROR(VALUE(_xlfn.XLOOKUP($A23, DEG!$B:$B, DEG!$D:$D)), "")</f>
        <v/>
      </c>
    </row>
    <row r="24" spans="1:17" x14ac:dyDescent="0.3">
      <c r="A24" t="s">
        <v>798</v>
      </c>
      <c r="B24" t="s">
        <v>799</v>
      </c>
      <c r="C24" t="s">
        <v>759</v>
      </c>
      <c r="D24">
        <v>3.8029199999999999</v>
      </c>
      <c r="E24">
        <v>3.4142999999999999</v>
      </c>
      <c r="F24">
        <v>3.67388</v>
      </c>
      <c r="G24">
        <v>3.8138800000000002</v>
      </c>
      <c r="H24">
        <v>3.6047899999999999</v>
      </c>
      <c r="I24">
        <v>4.03261</v>
      </c>
      <c r="J24">
        <v>4.8839300000000003</v>
      </c>
      <c r="K24">
        <v>4.0968499999999999</v>
      </c>
      <c r="L24">
        <v>3.5401600000000002</v>
      </c>
      <c r="M24">
        <v>4.6622199999999996</v>
      </c>
      <c r="N24">
        <v>4.9168200000000004</v>
      </c>
      <c r="O24">
        <v>5.5530499999999998</v>
      </c>
      <c r="P24" t="str">
        <f>_xlfn.XLOOKUP($A24, DEG!$B:$B, DEG!$E:$E, "not sig")</f>
        <v>not sig</v>
      </c>
      <c r="Q24" t="str">
        <f>IFERROR(VALUE(_xlfn.XLOOKUP($A24, DEG!$B:$B, DEG!$D:$D)), "")</f>
        <v/>
      </c>
    </row>
    <row r="25" spans="1:17" x14ac:dyDescent="0.3">
      <c r="A25" t="s">
        <v>545</v>
      </c>
      <c r="B25" t="s">
        <v>544</v>
      </c>
      <c r="C25" t="s">
        <v>756</v>
      </c>
      <c r="D25">
        <v>4.6725099999999999</v>
      </c>
      <c r="E25">
        <v>4.97668</v>
      </c>
      <c r="F25">
        <v>4.5808099999999996</v>
      </c>
      <c r="G25">
        <v>4.6908300000000001</v>
      </c>
      <c r="H25">
        <v>4.8052000000000001</v>
      </c>
      <c r="I25">
        <v>4.7466699999999999</v>
      </c>
      <c r="J25">
        <v>6.1539400000000004</v>
      </c>
      <c r="K25">
        <v>6.0122499999999999</v>
      </c>
      <c r="L25">
        <v>5.2399399999999998</v>
      </c>
      <c r="M25">
        <v>6.2988299999999997</v>
      </c>
      <c r="N25">
        <v>5.4205800000000002</v>
      </c>
      <c r="O25">
        <v>6.3936999999999999</v>
      </c>
      <c r="P25">
        <f>_xlfn.XLOOKUP($A25, DEG!$B:$B, DEG!$E:$E, "not sig")</f>
        <v>7.7213598823225804E-4</v>
      </c>
      <c r="Q25">
        <f>IFERROR(VALUE(_xlfn.XLOOKUP($A25, DEG!$B:$B, DEG!$D:$D)), "")</f>
        <v>1.17442333333333</v>
      </c>
    </row>
    <row r="26" spans="1:17" x14ac:dyDescent="0.3">
      <c r="A26" t="s">
        <v>800</v>
      </c>
      <c r="B26" t="s">
        <v>801</v>
      </c>
      <c r="C26" t="s">
        <v>759</v>
      </c>
      <c r="D26">
        <v>4.1128600000000004</v>
      </c>
      <c r="E26">
        <v>4.1699599999999997</v>
      </c>
      <c r="F26">
        <v>4.1395099999999996</v>
      </c>
      <c r="G26">
        <v>3.9036900000000001</v>
      </c>
      <c r="H26">
        <v>4.4807699999999997</v>
      </c>
      <c r="I26">
        <v>4.3078700000000003</v>
      </c>
      <c r="J26">
        <v>5.46882</v>
      </c>
      <c r="K26">
        <v>4.5895400000000004</v>
      </c>
      <c r="L26">
        <v>4.5136500000000002</v>
      </c>
      <c r="M26">
        <v>5.3845200000000002</v>
      </c>
      <c r="N26">
        <v>4.7286599999999996</v>
      </c>
      <c r="O26">
        <v>5.3272599999999999</v>
      </c>
      <c r="P26" t="str">
        <f>_xlfn.XLOOKUP($A26, DEG!$B:$B, DEG!$E:$E, "not sig")</f>
        <v>not sig</v>
      </c>
      <c r="Q26" t="str">
        <f>IFERROR(VALUE(_xlfn.XLOOKUP($A26, DEG!$B:$B, DEG!$D:$D)), "")</f>
        <v/>
      </c>
    </row>
    <row r="27" spans="1:17" x14ac:dyDescent="0.3">
      <c r="A27" t="s">
        <v>802</v>
      </c>
      <c r="B27" t="s">
        <v>803</v>
      </c>
      <c r="C27" t="s">
        <v>759</v>
      </c>
      <c r="D27">
        <v>5.47011</v>
      </c>
      <c r="E27">
        <v>5.1055400000000004</v>
      </c>
      <c r="F27">
        <v>5.3164400000000001</v>
      </c>
      <c r="G27">
        <v>5.2420200000000001</v>
      </c>
      <c r="H27">
        <v>5.2465200000000003</v>
      </c>
      <c r="I27">
        <v>5.1095300000000003</v>
      </c>
      <c r="J27">
        <v>5.12913</v>
      </c>
      <c r="K27">
        <v>5.1692499999999999</v>
      </c>
      <c r="L27">
        <v>5.3600300000000001</v>
      </c>
      <c r="M27">
        <v>5.2488799999999998</v>
      </c>
      <c r="N27">
        <v>4.8949100000000003</v>
      </c>
      <c r="O27">
        <v>5.0900299999999996</v>
      </c>
      <c r="P27" t="str">
        <f>_xlfn.XLOOKUP($A27, DEG!$B:$B, DEG!$E:$E, "not sig")</f>
        <v>not sig</v>
      </c>
      <c r="Q27" t="str">
        <f>IFERROR(VALUE(_xlfn.XLOOKUP($A27, DEG!$B:$B, DEG!$D:$D)), "")</f>
        <v/>
      </c>
    </row>
    <row r="28" spans="1:17" x14ac:dyDescent="0.3">
      <c r="A28" t="s">
        <v>804</v>
      </c>
      <c r="B28" t="s">
        <v>805</v>
      </c>
      <c r="C28" t="s">
        <v>759</v>
      </c>
      <c r="D28">
        <v>3.8976999999999999</v>
      </c>
      <c r="E28">
        <v>4.20967</v>
      </c>
      <c r="F28">
        <v>4.0009600000000001</v>
      </c>
      <c r="G28">
        <v>3.91086</v>
      </c>
      <c r="H28">
        <v>4.19597</v>
      </c>
      <c r="I28">
        <v>3.8662700000000001</v>
      </c>
      <c r="J28">
        <v>4.2423900000000003</v>
      </c>
      <c r="K28">
        <v>3.7972399999999999</v>
      </c>
      <c r="L28">
        <v>3.9271600000000002</v>
      </c>
      <c r="M28">
        <v>4.4360200000000001</v>
      </c>
      <c r="N28">
        <v>4.1795499999999999</v>
      </c>
      <c r="O28">
        <v>4.5213200000000002</v>
      </c>
      <c r="P28" t="str">
        <f>_xlfn.XLOOKUP($A28, DEG!$B:$B, DEG!$E:$E, "not sig")</f>
        <v>not sig</v>
      </c>
      <c r="Q28" t="str">
        <f>IFERROR(VALUE(_xlfn.XLOOKUP($A28, DEG!$B:$B, DEG!$D:$D)), "")</f>
        <v/>
      </c>
    </row>
    <row r="29" spans="1:17" x14ac:dyDescent="0.3">
      <c r="A29" t="s">
        <v>806</v>
      </c>
      <c r="B29" t="s">
        <v>807</v>
      </c>
      <c r="C29" t="s">
        <v>759</v>
      </c>
      <c r="D29">
        <v>3.9161700000000002</v>
      </c>
      <c r="E29">
        <v>4.4298400000000004</v>
      </c>
      <c r="F29">
        <v>4.1378199999999996</v>
      </c>
      <c r="G29">
        <v>4.0571900000000003</v>
      </c>
      <c r="H29">
        <v>4.4869899999999996</v>
      </c>
      <c r="I29">
        <v>4.1551999999999998</v>
      </c>
      <c r="J29">
        <v>4.2097899999999999</v>
      </c>
      <c r="K29">
        <v>4.0589700000000004</v>
      </c>
      <c r="L29">
        <v>4.0321899999999999</v>
      </c>
      <c r="M29">
        <v>4.18492</v>
      </c>
      <c r="N29">
        <v>4.1746100000000004</v>
      </c>
      <c r="O29">
        <v>4.1284099999999997</v>
      </c>
      <c r="P29" t="str">
        <f>_xlfn.XLOOKUP($A29, DEG!$B:$B, DEG!$E:$E, "not sig")</f>
        <v>not sig</v>
      </c>
      <c r="Q29" t="str">
        <f>IFERROR(VALUE(_xlfn.XLOOKUP($A29, DEG!$B:$B, DEG!$D:$D)), "")</f>
        <v/>
      </c>
    </row>
    <row r="30" spans="1:17" x14ac:dyDescent="0.3">
      <c r="A30" t="s">
        <v>808</v>
      </c>
      <c r="B30" t="s">
        <v>809</v>
      </c>
      <c r="C30" t="s">
        <v>759</v>
      </c>
      <c r="D30">
        <v>4.0973800000000002</v>
      </c>
      <c r="E30">
        <v>4.5723399999999996</v>
      </c>
      <c r="F30">
        <v>4.4211099999999997</v>
      </c>
      <c r="G30">
        <v>4.3651</v>
      </c>
      <c r="H30">
        <v>4.3465699999999998</v>
      </c>
      <c r="I30">
        <v>4.5403799999999999</v>
      </c>
      <c r="J30">
        <v>4.4685800000000002</v>
      </c>
      <c r="K30">
        <v>4.1147999999999998</v>
      </c>
      <c r="L30">
        <v>4.8830099999999996</v>
      </c>
      <c r="M30">
        <v>4.0333100000000002</v>
      </c>
      <c r="N30">
        <v>4.2759200000000002</v>
      </c>
      <c r="O30">
        <v>4.6263699999999996</v>
      </c>
      <c r="P30" t="str">
        <f>_xlfn.XLOOKUP($A30, DEG!$B:$B, DEG!$E:$E, "not sig")</f>
        <v>not sig</v>
      </c>
      <c r="Q30" t="str">
        <f>IFERROR(VALUE(_xlfn.XLOOKUP($A30, DEG!$B:$B, DEG!$D:$D)), "")</f>
        <v/>
      </c>
    </row>
    <row r="31" spans="1:17" x14ac:dyDescent="0.3">
      <c r="A31" t="s">
        <v>810</v>
      </c>
      <c r="B31" t="s">
        <v>811</v>
      </c>
      <c r="C31" t="s">
        <v>759</v>
      </c>
      <c r="D31">
        <v>3.9628399999999999</v>
      </c>
      <c r="E31">
        <v>4.2910899999999996</v>
      </c>
      <c r="F31">
        <v>4.4341299999999997</v>
      </c>
      <c r="G31">
        <v>4.6270600000000002</v>
      </c>
      <c r="H31">
        <v>4.3175800000000004</v>
      </c>
      <c r="I31">
        <v>4.0640900000000002</v>
      </c>
      <c r="J31">
        <v>4.87399</v>
      </c>
      <c r="K31">
        <v>4.43994</v>
      </c>
      <c r="L31">
        <v>4.5505899999999997</v>
      </c>
      <c r="M31">
        <v>4.4272900000000002</v>
      </c>
      <c r="N31">
        <v>4.9129899999999997</v>
      </c>
      <c r="O31">
        <v>4.4273800000000003</v>
      </c>
      <c r="P31" t="str">
        <f>_xlfn.XLOOKUP($A31, DEG!$B:$B, DEG!$E:$E, "not sig")</f>
        <v>not sig</v>
      </c>
      <c r="Q31" t="str">
        <f>IFERROR(VALUE(_xlfn.XLOOKUP($A31, DEG!$B:$B, DEG!$D:$D)), "")</f>
        <v/>
      </c>
    </row>
    <row r="32" spans="1:17" x14ac:dyDescent="0.3">
      <c r="A32" t="s">
        <v>812</v>
      </c>
      <c r="B32" t="s">
        <v>813</v>
      </c>
      <c r="C32" t="s">
        <v>759</v>
      </c>
      <c r="D32">
        <v>3.4940000000000002</v>
      </c>
      <c r="E32">
        <v>3.31046</v>
      </c>
      <c r="F32">
        <v>3.5516800000000002</v>
      </c>
      <c r="G32">
        <v>3.89316</v>
      </c>
      <c r="H32">
        <v>3.5863399999999999</v>
      </c>
      <c r="I32">
        <v>3.56243</v>
      </c>
      <c r="J32">
        <v>3.4732400000000001</v>
      </c>
      <c r="K32">
        <v>3.7979400000000001</v>
      </c>
      <c r="L32">
        <v>3.32273</v>
      </c>
      <c r="M32">
        <v>3.4676399999999998</v>
      </c>
      <c r="N32">
        <v>3.6727599999999998</v>
      </c>
      <c r="O32">
        <v>3.8026499999999999</v>
      </c>
      <c r="P32" t="str">
        <f>_xlfn.XLOOKUP($A32, DEG!$B:$B, DEG!$E:$E, "not sig")</f>
        <v>not sig</v>
      </c>
      <c r="Q32" t="str">
        <f>IFERROR(VALUE(_xlfn.XLOOKUP($A32, DEG!$B:$B, DEG!$D:$D)), "")</f>
        <v/>
      </c>
    </row>
    <row r="33" spans="1:17" x14ac:dyDescent="0.3">
      <c r="A33" t="s">
        <v>814</v>
      </c>
      <c r="B33" t="s">
        <v>815</v>
      </c>
      <c r="C33" t="s">
        <v>759</v>
      </c>
      <c r="D33">
        <v>7.9627800000000004</v>
      </c>
      <c r="E33">
        <v>7.7314400000000001</v>
      </c>
      <c r="F33">
        <v>7.8757200000000003</v>
      </c>
      <c r="G33">
        <v>7.8902200000000002</v>
      </c>
      <c r="H33">
        <v>7.8971400000000003</v>
      </c>
      <c r="I33">
        <v>7.4837499999999997</v>
      </c>
      <c r="J33">
        <v>8.3408800000000003</v>
      </c>
      <c r="K33">
        <v>7.9893799999999997</v>
      </c>
      <c r="L33">
        <v>7.8810900000000004</v>
      </c>
      <c r="M33">
        <v>8.6698599999999999</v>
      </c>
      <c r="N33">
        <v>7.92814</v>
      </c>
      <c r="O33">
        <v>8.4704099999999993</v>
      </c>
      <c r="P33" t="str">
        <f>_xlfn.XLOOKUP($A33, DEG!$B:$B, DEG!$E:$E, "not sig")</f>
        <v>not sig</v>
      </c>
      <c r="Q33" t="str">
        <f>IFERROR(VALUE(_xlfn.XLOOKUP($A33, DEG!$B:$B, DEG!$D:$D)), "")</f>
        <v/>
      </c>
    </row>
    <row r="34" spans="1:17" x14ac:dyDescent="0.3">
      <c r="A34" t="s">
        <v>689</v>
      </c>
      <c r="B34" t="s">
        <v>688</v>
      </c>
      <c r="C34" t="s">
        <v>756</v>
      </c>
      <c r="D34">
        <v>7.4365399999999999</v>
      </c>
      <c r="E34">
        <v>7.4384300000000003</v>
      </c>
      <c r="F34">
        <v>7.5246000000000004</v>
      </c>
      <c r="G34">
        <v>7.5102900000000004</v>
      </c>
      <c r="H34">
        <v>7.5150899999999998</v>
      </c>
      <c r="I34">
        <v>7.6388400000000001</v>
      </c>
      <c r="J34">
        <v>9.1469299999999993</v>
      </c>
      <c r="K34">
        <v>8.2188099999999995</v>
      </c>
      <c r="L34">
        <v>8.1166199999999993</v>
      </c>
      <c r="M34">
        <v>8.6559200000000001</v>
      </c>
      <c r="N34">
        <v>8.1039899999999996</v>
      </c>
      <c r="O34">
        <v>9.1097000000000001</v>
      </c>
      <c r="P34">
        <f>_xlfn.XLOOKUP($A34, DEG!$B:$B, DEG!$E:$E, "not sig")</f>
        <v>1.5663148052964099E-3</v>
      </c>
      <c r="Q34">
        <f>IFERROR(VALUE(_xlfn.XLOOKUP($A34, DEG!$B:$B, DEG!$D:$D)), "")</f>
        <v>1.04803</v>
      </c>
    </row>
    <row r="35" spans="1:17" x14ac:dyDescent="0.3">
      <c r="A35" t="s">
        <v>816</v>
      </c>
      <c r="B35" t="s">
        <v>817</v>
      </c>
      <c r="C35" t="s">
        <v>759</v>
      </c>
      <c r="D35">
        <v>3.6427900000000002</v>
      </c>
      <c r="E35">
        <v>3.7189899999999998</v>
      </c>
      <c r="F35">
        <v>3.9239600000000001</v>
      </c>
      <c r="G35">
        <v>3.6215199999999999</v>
      </c>
      <c r="H35">
        <v>3.8198400000000001</v>
      </c>
      <c r="I35">
        <v>3.7895500000000002</v>
      </c>
      <c r="J35">
        <v>4.8417899999999996</v>
      </c>
      <c r="K35">
        <v>4.1213800000000003</v>
      </c>
      <c r="L35">
        <v>4.1196900000000003</v>
      </c>
      <c r="M35">
        <v>4.28599</v>
      </c>
      <c r="N35">
        <v>4.6515300000000002</v>
      </c>
      <c r="O35">
        <v>5.2341300000000004</v>
      </c>
      <c r="P35" t="str">
        <f>_xlfn.XLOOKUP($A35, DEG!$B:$B, DEG!$E:$E, "not sig")</f>
        <v>not sig</v>
      </c>
      <c r="Q35" t="str">
        <f>IFERROR(VALUE(_xlfn.XLOOKUP($A35, DEG!$B:$B, DEG!$D:$D)), "")</f>
        <v/>
      </c>
    </row>
    <row r="36" spans="1:17" x14ac:dyDescent="0.3">
      <c r="A36" t="s">
        <v>818</v>
      </c>
      <c r="B36" t="s">
        <v>819</v>
      </c>
      <c r="C36" t="s">
        <v>759</v>
      </c>
      <c r="D36">
        <v>5.5537400000000003</v>
      </c>
      <c r="E36">
        <v>5.4825900000000001</v>
      </c>
      <c r="F36">
        <v>5.3332300000000004</v>
      </c>
      <c r="G36">
        <v>5.4499199999999997</v>
      </c>
      <c r="H36">
        <v>5.6155600000000003</v>
      </c>
      <c r="I36">
        <v>5.1783000000000001</v>
      </c>
      <c r="J36">
        <v>5.1475499999999998</v>
      </c>
      <c r="K36">
        <v>5.0058199999999999</v>
      </c>
      <c r="L36">
        <v>5.0828699999999998</v>
      </c>
      <c r="M36">
        <v>5.2961200000000002</v>
      </c>
      <c r="N36">
        <v>6.1057499999999996</v>
      </c>
      <c r="O36">
        <v>5.32416</v>
      </c>
      <c r="P36" t="str">
        <f>_xlfn.XLOOKUP($A36, DEG!$B:$B, DEG!$E:$E, "not sig")</f>
        <v>not sig</v>
      </c>
      <c r="Q36" t="str">
        <f>IFERROR(VALUE(_xlfn.XLOOKUP($A36, DEG!$B:$B, DEG!$D:$D)), "")</f>
        <v/>
      </c>
    </row>
    <row r="37" spans="1:17" x14ac:dyDescent="0.3">
      <c r="A37" t="s">
        <v>820</v>
      </c>
      <c r="B37" t="s">
        <v>821</v>
      </c>
      <c r="C37" t="s">
        <v>759</v>
      </c>
      <c r="D37">
        <v>6.2618099999999997</v>
      </c>
      <c r="E37">
        <v>6.34246</v>
      </c>
      <c r="F37">
        <v>6.2470699999999999</v>
      </c>
      <c r="G37">
        <v>6.1893700000000003</v>
      </c>
      <c r="H37">
        <v>6.2284300000000004</v>
      </c>
      <c r="I37">
        <v>6.1950599999999998</v>
      </c>
      <c r="J37">
        <v>5.6349799999999997</v>
      </c>
      <c r="K37">
        <v>6.0273300000000001</v>
      </c>
      <c r="L37">
        <v>5.8658999999999999</v>
      </c>
      <c r="M37">
        <v>5.9930399999999997</v>
      </c>
      <c r="N37">
        <v>6.8563700000000001</v>
      </c>
      <c r="O37">
        <v>6.0928100000000001</v>
      </c>
      <c r="P37" t="str">
        <f>_xlfn.XLOOKUP($A37, DEG!$B:$B, DEG!$E:$E, "not sig")</f>
        <v>not sig</v>
      </c>
      <c r="Q37" t="str">
        <f>IFERROR(VALUE(_xlfn.XLOOKUP($A37, DEG!$B:$B, DEG!$D:$D)), "")</f>
        <v/>
      </c>
    </row>
    <row r="38" spans="1:17" x14ac:dyDescent="0.3">
      <c r="A38" t="s">
        <v>822</v>
      </c>
      <c r="B38" t="s">
        <v>823</v>
      </c>
      <c r="C38" t="s">
        <v>759</v>
      </c>
      <c r="D38">
        <v>4.1848299999999998</v>
      </c>
      <c r="E38">
        <v>4.2838799999999999</v>
      </c>
      <c r="F38">
        <v>4.2307800000000002</v>
      </c>
      <c r="G38">
        <v>4.3146300000000002</v>
      </c>
      <c r="H38">
        <v>4.3755600000000001</v>
      </c>
      <c r="I38">
        <v>4.3554300000000001</v>
      </c>
      <c r="J38">
        <v>4.2969400000000002</v>
      </c>
      <c r="K38">
        <v>4.5544099999999998</v>
      </c>
      <c r="L38">
        <v>4.4757199999999999</v>
      </c>
      <c r="M38">
        <v>4.2450700000000001</v>
      </c>
      <c r="N38">
        <v>4.3388499999999999</v>
      </c>
      <c r="O38">
        <v>4.4632800000000001</v>
      </c>
      <c r="P38" t="str">
        <f>_xlfn.XLOOKUP($A38, DEG!$B:$B, DEG!$E:$E, "not sig")</f>
        <v>not sig</v>
      </c>
      <c r="Q38" t="str">
        <f>IFERROR(VALUE(_xlfn.XLOOKUP($A38, DEG!$B:$B, DEG!$D:$D)), "")</f>
        <v/>
      </c>
    </row>
    <row r="39" spans="1:17" x14ac:dyDescent="0.3">
      <c r="A39" t="s">
        <v>824</v>
      </c>
      <c r="B39" t="s">
        <v>825</v>
      </c>
      <c r="C39" t="s">
        <v>759</v>
      </c>
      <c r="D39">
        <v>6.0950499999999996</v>
      </c>
      <c r="E39">
        <v>6.0102599999999997</v>
      </c>
      <c r="F39">
        <v>6.0162399999999998</v>
      </c>
      <c r="G39">
        <v>6.0300900000000004</v>
      </c>
      <c r="H39">
        <v>6.21387</v>
      </c>
      <c r="I39">
        <v>6.3621499999999997</v>
      </c>
      <c r="J39">
        <v>5.9687900000000003</v>
      </c>
      <c r="K39">
        <v>5.9407399999999999</v>
      </c>
      <c r="L39">
        <v>6.34321</v>
      </c>
      <c r="M39">
        <v>6.1702700000000004</v>
      </c>
      <c r="N39">
        <v>6.1302000000000003</v>
      </c>
      <c r="O39">
        <v>6.3460999999999999</v>
      </c>
      <c r="P39" t="str">
        <f>_xlfn.XLOOKUP($A39, DEG!$B:$B, DEG!$E:$E, "not sig")</f>
        <v>not sig</v>
      </c>
      <c r="Q39" t="str">
        <f>IFERROR(VALUE(_xlfn.XLOOKUP($A39, DEG!$B:$B, DEG!$D:$D)), "")</f>
        <v/>
      </c>
    </row>
    <row r="40" spans="1:17" x14ac:dyDescent="0.3">
      <c r="A40" t="s">
        <v>58</v>
      </c>
      <c r="B40" t="s">
        <v>57</v>
      </c>
      <c r="C40" t="s">
        <v>756</v>
      </c>
      <c r="D40">
        <v>5.2268999999999997</v>
      </c>
      <c r="E40">
        <v>4.7885200000000001</v>
      </c>
      <c r="F40">
        <v>5.2551800000000002</v>
      </c>
      <c r="G40">
        <v>4.6314799999999998</v>
      </c>
      <c r="H40">
        <v>4.2669300000000003</v>
      </c>
      <c r="I40">
        <v>4.5529099999999998</v>
      </c>
      <c r="J40">
        <v>8.6975700000000007</v>
      </c>
      <c r="K40">
        <v>6.8506400000000003</v>
      </c>
      <c r="L40">
        <v>6.9416900000000004</v>
      </c>
      <c r="M40">
        <v>7.44808</v>
      </c>
      <c r="N40">
        <v>6.4699600000000004</v>
      </c>
      <c r="O40">
        <v>7.7913699999999997</v>
      </c>
      <c r="P40">
        <f>_xlfn.XLOOKUP($A40, DEG!$B:$B, DEG!$E:$E, "not sig")</f>
        <v>1.4746114857122801E-4</v>
      </c>
      <c r="Q40">
        <f>IFERROR(VALUE(_xlfn.XLOOKUP($A40, DEG!$B:$B, DEG!$D:$D)), "")</f>
        <v>2.5795650000000001</v>
      </c>
    </row>
    <row r="41" spans="1:17" x14ac:dyDescent="0.3">
      <c r="A41" t="s">
        <v>826</v>
      </c>
      <c r="B41" t="s">
        <v>827</v>
      </c>
      <c r="C41" t="s">
        <v>759</v>
      </c>
      <c r="D41">
        <v>4.2290299999999998</v>
      </c>
      <c r="E41">
        <v>4.0646000000000004</v>
      </c>
      <c r="F41">
        <v>4.1064800000000004</v>
      </c>
      <c r="G41">
        <v>3.99796</v>
      </c>
      <c r="H41">
        <v>4.50596</v>
      </c>
      <c r="I41">
        <v>4.2366799999999998</v>
      </c>
      <c r="J41">
        <v>4.7649400000000002</v>
      </c>
      <c r="K41">
        <v>4.3340399999999999</v>
      </c>
      <c r="L41">
        <v>4.1260199999999996</v>
      </c>
      <c r="M41">
        <v>5.7007700000000003</v>
      </c>
      <c r="N41">
        <v>5.9273800000000003</v>
      </c>
      <c r="O41">
        <v>4.6901900000000003</v>
      </c>
      <c r="P41" t="str">
        <f>_xlfn.XLOOKUP($A41, DEG!$B:$B, DEG!$E:$E, "not sig")</f>
        <v>not sig</v>
      </c>
      <c r="Q41" t="str">
        <f>IFERROR(VALUE(_xlfn.XLOOKUP($A41, DEG!$B:$B, DEG!$D:$D)), "")</f>
        <v/>
      </c>
    </row>
    <row r="42" spans="1:17" x14ac:dyDescent="0.3">
      <c r="A42" t="s">
        <v>828</v>
      </c>
      <c r="B42" t="s">
        <v>829</v>
      </c>
      <c r="C42" t="s">
        <v>759</v>
      </c>
      <c r="D42">
        <v>7.4966600000000003</v>
      </c>
      <c r="E42">
        <v>7.4816399999999996</v>
      </c>
      <c r="F42">
        <v>7.6471799999999996</v>
      </c>
      <c r="G42">
        <v>7.5532700000000004</v>
      </c>
      <c r="H42">
        <v>7.5451600000000001</v>
      </c>
      <c r="I42">
        <v>7.5695800000000002</v>
      </c>
      <c r="J42">
        <v>7.5744400000000001</v>
      </c>
      <c r="K42">
        <v>7.5564200000000001</v>
      </c>
      <c r="L42">
        <v>7.5353500000000002</v>
      </c>
      <c r="M42">
        <v>7.5702100000000003</v>
      </c>
      <c r="N42">
        <v>7.6856</v>
      </c>
      <c r="O42">
        <v>7.89114</v>
      </c>
      <c r="P42" t="str">
        <f>_xlfn.XLOOKUP($A42, DEG!$B:$B, DEG!$E:$E, "not sig")</f>
        <v>not sig</v>
      </c>
      <c r="Q42" t="str">
        <f>IFERROR(VALUE(_xlfn.XLOOKUP($A42, DEG!$B:$B, DEG!$D:$D)), "")</f>
        <v/>
      </c>
    </row>
    <row r="43" spans="1:17" x14ac:dyDescent="0.3">
      <c r="A43" t="s">
        <v>830</v>
      </c>
      <c r="B43" t="s">
        <v>831</v>
      </c>
      <c r="C43" t="s">
        <v>759</v>
      </c>
      <c r="D43">
        <v>8.9533900000000006</v>
      </c>
      <c r="E43">
        <v>8.8612800000000007</v>
      </c>
      <c r="F43">
        <v>8.8984299999999994</v>
      </c>
      <c r="G43">
        <v>8.9161300000000008</v>
      </c>
      <c r="H43">
        <v>8.8104300000000002</v>
      </c>
      <c r="I43">
        <v>8.8633699999999997</v>
      </c>
      <c r="J43">
        <v>9.05823</v>
      </c>
      <c r="K43">
        <v>8.9263300000000001</v>
      </c>
      <c r="L43">
        <v>8.87608</v>
      </c>
      <c r="M43">
        <v>9.1400100000000002</v>
      </c>
      <c r="N43">
        <v>9.1698599999999999</v>
      </c>
      <c r="O43">
        <v>9.34131</v>
      </c>
      <c r="P43" t="str">
        <f>_xlfn.XLOOKUP($A43, DEG!$B:$B, DEG!$E:$E, "not sig")</f>
        <v>not sig</v>
      </c>
      <c r="Q43" t="str">
        <f>IFERROR(VALUE(_xlfn.XLOOKUP($A43, DEG!$B:$B, DEG!$D:$D)), "")</f>
        <v/>
      </c>
    </row>
    <row r="44" spans="1:17" x14ac:dyDescent="0.3">
      <c r="A44" t="s">
        <v>832</v>
      </c>
      <c r="B44" t="s">
        <v>833</v>
      </c>
      <c r="C44" t="s">
        <v>759</v>
      </c>
      <c r="D44">
        <v>7.9673800000000004</v>
      </c>
      <c r="E44">
        <v>8.2482000000000006</v>
      </c>
      <c r="F44">
        <v>7.8898700000000002</v>
      </c>
      <c r="G44">
        <v>8.0068199999999994</v>
      </c>
      <c r="H44">
        <v>7.9683700000000002</v>
      </c>
      <c r="I44">
        <v>7.94306</v>
      </c>
      <c r="J44">
        <v>9.2576099999999997</v>
      </c>
      <c r="K44">
        <v>8.6725499999999993</v>
      </c>
      <c r="L44">
        <v>8.4557500000000001</v>
      </c>
      <c r="M44">
        <v>8.6960200000000007</v>
      </c>
      <c r="N44">
        <v>8.4906000000000006</v>
      </c>
      <c r="O44">
        <v>9.0699799999999993</v>
      </c>
      <c r="P44" t="str">
        <f>_xlfn.XLOOKUP($A44, DEG!$B:$B, DEG!$E:$E, "not sig")</f>
        <v>not sig</v>
      </c>
      <c r="Q44" t="str">
        <f>IFERROR(VALUE(_xlfn.XLOOKUP($A44, DEG!$B:$B, DEG!$D:$D)), "")</f>
        <v/>
      </c>
    </row>
    <row r="45" spans="1:17" x14ac:dyDescent="0.3">
      <c r="A45" t="s">
        <v>834</v>
      </c>
      <c r="B45" t="s">
        <v>835</v>
      </c>
      <c r="C45" t="s">
        <v>759</v>
      </c>
      <c r="D45">
        <v>6.8686699999999998</v>
      </c>
      <c r="E45">
        <v>6.8162399999999996</v>
      </c>
      <c r="F45">
        <v>6.61714</v>
      </c>
      <c r="G45">
        <v>6.8869899999999999</v>
      </c>
      <c r="H45">
        <v>6.7619199999999999</v>
      </c>
      <c r="I45">
        <v>6.6878700000000002</v>
      </c>
      <c r="J45">
        <v>6.6446800000000001</v>
      </c>
      <c r="K45">
        <v>6.6914800000000003</v>
      </c>
      <c r="L45">
        <v>6.6394599999999997</v>
      </c>
      <c r="M45">
        <v>6.7586899999999996</v>
      </c>
      <c r="N45">
        <v>6.45688</v>
      </c>
      <c r="O45">
        <v>6.7456100000000001</v>
      </c>
      <c r="P45" t="str">
        <f>_xlfn.XLOOKUP($A45, DEG!$B:$B, DEG!$E:$E, "not sig")</f>
        <v>not sig</v>
      </c>
      <c r="Q45" t="str">
        <f>IFERROR(VALUE(_xlfn.XLOOKUP($A45, DEG!$B:$B, DEG!$D:$D)), "")</f>
        <v/>
      </c>
    </row>
    <row r="46" spans="1:17" x14ac:dyDescent="0.3">
      <c r="A46" t="s">
        <v>836</v>
      </c>
      <c r="B46" t="s">
        <v>837</v>
      </c>
      <c r="C46" t="s">
        <v>759</v>
      </c>
      <c r="D46">
        <v>6.56264</v>
      </c>
      <c r="E46">
        <v>6.7233700000000001</v>
      </c>
      <c r="F46">
        <v>6.6062700000000003</v>
      </c>
      <c r="G46">
        <v>6.6714099999999998</v>
      </c>
      <c r="H46">
        <v>6.6379299999999999</v>
      </c>
      <c r="I46">
        <v>6.5758799999999997</v>
      </c>
      <c r="J46">
        <v>7.0735200000000003</v>
      </c>
      <c r="K46">
        <v>6.8893000000000004</v>
      </c>
      <c r="L46">
        <v>6.8221100000000003</v>
      </c>
      <c r="M46">
        <v>7.0465400000000002</v>
      </c>
      <c r="N46">
        <v>6.8213900000000001</v>
      </c>
      <c r="O46">
        <v>7.5726800000000001</v>
      </c>
      <c r="P46" t="str">
        <f>_xlfn.XLOOKUP($A46, DEG!$B:$B, DEG!$E:$E, "not sig")</f>
        <v>not sig</v>
      </c>
      <c r="Q46" t="str">
        <f>IFERROR(VALUE(_xlfn.XLOOKUP($A46, DEG!$B:$B, DEG!$D:$D)), "")</f>
        <v/>
      </c>
    </row>
    <row r="47" spans="1:17" x14ac:dyDescent="0.3">
      <c r="A47" t="s">
        <v>838</v>
      </c>
      <c r="B47" t="s">
        <v>839</v>
      </c>
      <c r="C47" t="s">
        <v>759</v>
      </c>
      <c r="D47">
        <v>4.6651899999999999</v>
      </c>
      <c r="E47">
        <v>4.4453199999999997</v>
      </c>
      <c r="F47">
        <v>4.6098499999999998</v>
      </c>
      <c r="G47">
        <v>4.7141400000000004</v>
      </c>
      <c r="H47">
        <v>4.5767800000000003</v>
      </c>
      <c r="I47">
        <v>4.8492699999999997</v>
      </c>
      <c r="J47">
        <v>4.8735499999999998</v>
      </c>
      <c r="K47">
        <v>4.35175</v>
      </c>
      <c r="L47">
        <v>4.5497500000000004</v>
      </c>
      <c r="M47">
        <v>4.69651</v>
      </c>
      <c r="N47">
        <v>4.9128600000000002</v>
      </c>
      <c r="O47">
        <v>4.9404000000000003</v>
      </c>
      <c r="P47" t="str">
        <f>_xlfn.XLOOKUP($A47, DEG!$B:$B, DEG!$E:$E, "not sig")</f>
        <v>not sig</v>
      </c>
      <c r="Q47" t="str">
        <f>IFERROR(VALUE(_xlfn.XLOOKUP($A47, DEG!$B:$B, DEG!$D:$D)), "")</f>
        <v/>
      </c>
    </row>
    <row r="48" spans="1:17" x14ac:dyDescent="0.3">
      <c r="A48" t="s">
        <v>840</v>
      </c>
      <c r="B48" t="s">
        <v>841</v>
      </c>
      <c r="C48" t="s">
        <v>759</v>
      </c>
      <c r="D48">
        <v>5.2022899999999996</v>
      </c>
      <c r="E48">
        <v>5.0856000000000003</v>
      </c>
      <c r="F48">
        <v>5.2042599999999997</v>
      </c>
      <c r="G48">
        <v>5.0849299999999999</v>
      </c>
      <c r="H48">
        <v>5.1868699999999999</v>
      </c>
      <c r="I48">
        <v>5.1045199999999999</v>
      </c>
      <c r="J48">
        <v>4.7220899999999997</v>
      </c>
      <c r="K48">
        <v>5.0766099999999996</v>
      </c>
      <c r="L48">
        <v>5.0615300000000003</v>
      </c>
      <c r="M48">
        <v>5.0025899999999996</v>
      </c>
      <c r="N48">
        <v>5.1136100000000004</v>
      </c>
      <c r="O48">
        <v>5.1099800000000002</v>
      </c>
      <c r="P48" t="str">
        <f>_xlfn.XLOOKUP($A48, DEG!$B:$B, DEG!$E:$E, "not sig")</f>
        <v>not sig</v>
      </c>
      <c r="Q48" t="str">
        <f>IFERROR(VALUE(_xlfn.XLOOKUP($A48, DEG!$B:$B, DEG!$D:$D)), "")</f>
        <v/>
      </c>
    </row>
    <row r="49" spans="1:17" x14ac:dyDescent="0.3">
      <c r="A49" t="s">
        <v>446</v>
      </c>
      <c r="B49" t="s">
        <v>445</v>
      </c>
      <c r="C49" t="s">
        <v>756</v>
      </c>
      <c r="D49">
        <v>6.3935500000000003</v>
      </c>
      <c r="E49">
        <v>6.2538099999999996</v>
      </c>
      <c r="F49">
        <v>6.48841</v>
      </c>
      <c r="G49">
        <v>6.3234199999999996</v>
      </c>
      <c r="H49">
        <v>6.4169999999999998</v>
      </c>
      <c r="I49">
        <v>6.3020500000000004</v>
      </c>
      <c r="J49">
        <v>8.2077799999999996</v>
      </c>
      <c r="K49">
        <v>7.4561000000000002</v>
      </c>
      <c r="L49">
        <v>7.14079</v>
      </c>
      <c r="M49">
        <v>7.6812300000000002</v>
      </c>
      <c r="N49">
        <v>7.2488000000000001</v>
      </c>
      <c r="O49">
        <v>8.0621700000000001</v>
      </c>
      <c r="P49">
        <f>_xlfn.XLOOKUP($A49, DEG!$B:$B, DEG!$E:$E, "not sig")</f>
        <v>1.87980927587764E-4</v>
      </c>
      <c r="Q49">
        <f>IFERROR(VALUE(_xlfn.XLOOKUP($A49, DEG!$B:$B, DEG!$D:$D)), "")</f>
        <v>1.2697716666666701</v>
      </c>
    </row>
    <row r="50" spans="1:17" x14ac:dyDescent="0.3">
      <c r="A50" t="s">
        <v>67</v>
      </c>
      <c r="B50" t="s">
        <v>66</v>
      </c>
      <c r="C50" t="s">
        <v>756</v>
      </c>
      <c r="D50">
        <v>4.9269400000000001</v>
      </c>
      <c r="E50">
        <v>5.32775</v>
      </c>
      <c r="F50">
        <v>5.15205</v>
      </c>
      <c r="G50">
        <v>4.8745700000000003</v>
      </c>
      <c r="H50">
        <v>4.9831399999999997</v>
      </c>
      <c r="I50">
        <v>5.1733000000000002</v>
      </c>
      <c r="J50">
        <v>8.7577099999999994</v>
      </c>
      <c r="K50">
        <v>6.8792</v>
      </c>
      <c r="L50">
        <v>7.3465999999999996</v>
      </c>
      <c r="M50">
        <v>7.0259099999999997</v>
      </c>
      <c r="N50">
        <v>6.98956</v>
      </c>
      <c r="O50">
        <v>8.0269399999999997</v>
      </c>
      <c r="P50">
        <f>_xlfn.XLOOKUP($A50, DEG!$B:$B, DEG!$E:$E, "not sig")</f>
        <v>7.5372050692496095E-5</v>
      </c>
      <c r="Q50">
        <f>IFERROR(VALUE(_xlfn.XLOOKUP($A50, DEG!$B:$B, DEG!$D:$D)), "")</f>
        <v>2.4313616666666702</v>
      </c>
    </row>
    <row r="51" spans="1:17" x14ac:dyDescent="0.3">
      <c r="A51" t="s">
        <v>278</v>
      </c>
      <c r="B51" t="s">
        <v>277</v>
      </c>
      <c r="C51" t="s">
        <v>756</v>
      </c>
      <c r="D51">
        <v>4.7416200000000002</v>
      </c>
      <c r="E51">
        <v>5.12967</v>
      </c>
      <c r="F51">
        <v>4.6500500000000002</v>
      </c>
      <c r="G51">
        <v>4.9980200000000004</v>
      </c>
      <c r="H51">
        <v>4.6666699999999999</v>
      </c>
      <c r="I51">
        <v>4.9391699999999998</v>
      </c>
      <c r="J51">
        <v>6.9111099999999999</v>
      </c>
      <c r="K51">
        <v>5.8726099999999999</v>
      </c>
      <c r="L51">
        <v>5.83887</v>
      </c>
      <c r="M51">
        <v>6.3029200000000003</v>
      </c>
      <c r="N51">
        <v>6.5001699999999998</v>
      </c>
      <c r="O51">
        <v>7.2093699999999998</v>
      </c>
      <c r="P51">
        <f>_xlfn.XLOOKUP($A51, DEG!$B:$B, DEG!$E:$E, "not sig")</f>
        <v>2.6360407611755499E-4</v>
      </c>
      <c r="Q51">
        <f>IFERROR(VALUE(_xlfn.XLOOKUP($A51, DEG!$B:$B, DEG!$D:$D)), "")</f>
        <v>1.584975</v>
      </c>
    </row>
    <row r="52" spans="1:17" x14ac:dyDescent="0.3">
      <c r="A52" t="s">
        <v>536</v>
      </c>
      <c r="B52" t="s">
        <v>535</v>
      </c>
      <c r="C52" t="s">
        <v>756</v>
      </c>
      <c r="D52">
        <v>5.5468599999999997</v>
      </c>
      <c r="E52">
        <v>5.8281299999999998</v>
      </c>
      <c r="F52">
        <v>5.5871000000000004</v>
      </c>
      <c r="G52">
        <v>5.9120999999999997</v>
      </c>
      <c r="H52">
        <v>5.8978700000000002</v>
      </c>
      <c r="I52">
        <v>6.0377099999999997</v>
      </c>
      <c r="J52">
        <v>7.4020000000000001</v>
      </c>
      <c r="K52">
        <v>6.3655900000000001</v>
      </c>
      <c r="L52">
        <v>6.4718099999999996</v>
      </c>
      <c r="M52">
        <v>6.5488400000000002</v>
      </c>
      <c r="N52">
        <v>7.1707999999999998</v>
      </c>
      <c r="O52">
        <v>7.9808599999999998</v>
      </c>
      <c r="P52">
        <f>_xlfn.XLOOKUP($A52, DEG!$B:$B, DEG!$E:$E, "not sig")</f>
        <v>4.6422070361635702E-3</v>
      </c>
      <c r="Q52">
        <f>IFERROR(VALUE(_xlfn.XLOOKUP($A52, DEG!$B:$B, DEG!$D:$D)), "")</f>
        <v>1.1883550000000001</v>
      </c>
    </row>
    <row r="53" spans="1:17" x14ac:dyDescent="0.3">
      <c r="A53" t="s">
        <v>632</v>
      </c>
      <c r="B53" t="s">
        <v>631</v>
      </c>
      <c r="C53" t="s">
        <v>756</v>
      </c>
      <c r="D53">
        <v>4.9236599999999999</v>
      </c>
      <c r="E53">
        <v>4.6161099999999999</v>
      </c>
      <c r="F53">
        <v>4.9775099999999997</v>
      </c>
      <c r="G53">
        <v>4.8236800000000004</v>
      </c>
      <c r="H53">
        <v>4.96793</v>
      </c>
      <c r="I53">
        <v>5.5500699999999998</v>
      </c>
      <c r="J53">
        <v>6.5431800000000004</v>
      </c>
      <c r="K53">
        <v>5.43919</v>
      </c>
      <c r="L53">
        <v>5.8392799999999996</v>
      </c>
      <c r="M53">
        <v>5.3660500000000004</v>
      </c>
      <c r="N53">
        <v>6.0106900000000003</v>
      </c>
      <c r="O53">
        <v>7.16615</v>
      </c>
      <c r="P53">
        <f>_xlfn.XLOOKUP($A53, DEG!$B:$B, DEG!$E:$E, "not sig")</f>
        <v>1.51567426033642E-2</v>
      </c>
      <c r="Q53">
        <f>IFERROR(VALUE(_xlfn.XLOOKUP($A53, DEG!$B:$B, DEG!$D:$D)), "")</f>
        <v>1.08426333333333</v>
      </c>
    </row>
    <row r="54" spans="1:17" x14ac:dyDescent="0.3">
      <c r="A54" t="s">
        <v>842</v>
      </c>
      <c r="B54" t="s">
        <v>843</v>
      </c>
      <c r="C54" t="s">
        <v>759</v>
      </c>
      <c r="D54">
        <v>3.60561</v>
      </c>
      <c r="E54">
        <v>3.7094999999999998</v>
      </c>
      <c r="F54">
        <v>3.9964</v>
      </c>
      <c r="G54">
        <v>3.8637800000000002</v>
      </c>
      <c r="H54">
        <v>3.6605099999999999</v>
      </c>
      <c r="I54">
        <v>3.90543</v>
      </c>
      <c r="J54">
        <v>3.8384299999999998</v>
      </c>
      <c r="K54">
        <v>3.6189100000000001</v>
      </c>
      <c r="L54">
        <v>3.77081</v>
      </c>
      <c r="M54">
        <v>3.7256200000000002</v>
      </c>
      <c r="N54">
        <v>3.54772</v>
      </c>
      <c r="O54">
        <v>3.9308000000000001</v>
      </c>
      <c r="P54" t="str">
        <f>_xlfn.XLOOKUP($A54, DEG!$B:$B, DEG!$E:$E, "not sig")</f>
        <v>not sig</v>
      </c>
      <c r="Q54" t="str">
        <f>IFERROR(VALUE(_xlfn.XLOOKUP($A54, DEG!$B:$B, DEG!$D:$D)), "")</f>
        <v/>
      </c>
    </row>
    <row r="55" spans="1:17" x14ac:dyDescent="0.3">
      <c r="A55" t="s">
        <v>844</v>
      </c>
      <c r="B55" t="s">
        <v>845</v>
      </c>
      <c r="C55" t="s">
        <v>759</v>
      </c>
      <c r="D55">
        <v>5.44414</v>
      </c>
      <c r="E55">
        <v>4.9703299999999997</v>
      </c>
      <c r="F55">
        <v>5.2374499999999999</v>
      </c>
      <c r="G55">
        <v>5.2758799999999999</v>
      </c>
      <c r="H55">
        <v>5.4994300000000003</v>
      </c>
      <c r="I55">
        <v>5.5082300000000002</v>
      </c>
      <c r="J55">
        <v>5.0580400000000001</v>
      </c>
      <c r="K55">
        <v>5.2163399999999998</v>
      </c>
      <c r="L55">
        <v>5.6074799999999998</v>
      </c>
      <c r="M55">
        <v>5.3012100000000002</v>
      </c>
      <c r="N55">
        <v>5.3179999999999996</v>
      </c>
      <c r="O55">
        <v>5.3738799999999998</v>
      </c>
      <c r="P55" t="str">
        <f>_xlfn.XLOOKUP($A55, DEG!$B:$B, DEG!$E:$E, "not sig")</f>
        <v>not sig</v>
      </c>
      <c r="Q55" t="str">
        <f>IFERROR(VALUE(_xlfn.XLOOKUP($A55, DEG!$B:$B, DEG!$D:$D)), "")</f>
        <v/>
      </c>
    </row>
    <row r="56" spans="1:17" x14ac:dyDescent="0.3">
      <c r="A56" t="s">
        <v>846</v>
      </c>
      <c r="B56" t="s">
        <v>847</v>
      </c>
      <c r="C56" t="s">
        <v>759</v>
      </c>
      <c r="D56">
        <v>5.6094900000000001</v>
      </c>
      <c r="E56">
        <v>5.1069199999999997</v>
      </c>
      <c r="F56">
        <v>5.2020900000000001</v>
      </c>
      <c r="G56">
        <v>5.4068699999999996</v>
      </c>
      <c r="H56">
        <v>5.4865700000000004</v>
      </c>
      <c r="I56">
        <v>5.5337399999999999</v>
      </c>
      <c r="J56">
        <v>6.2198599999999997</v>
      </c>
      <c r="K56">
        <v>5.8429700000000002</v>
      </c>
      <c r="L56">
        <v>5.9261699999999999</v>
      </c>
      <c r="M56">
        <v>5.9971800000000002</v>
      </c>
      <c r="N56">
        <v>5.7670700000000004</v>
      </c>
      <c r="O56">
        <v>6.0273599999999998</v>
      </c>
      <c r="P56" t="str">
        <f>_xlfn.XLOOKUP($A56, DEG!$B:$B, DEG!$E:$E, "not sig")</f>
        <v>not sig</v>
      </c>
      <c r="Q56" t="str">
        <f>IFERROR(VALUE(_xlfn.XLOOKUP($A56, DEG!$B:$B, DEG!$D:$D)), "")</f>
        <v/>
      </c>
    </row>
    <row r="57" spans="1:17" x14ac:dyDescent="0.3">
      <c r="A57" t="s">
        <v>848</v>
      </c>
      <c r="B57" t="s">
        <v>849</v>
      </c>
      <c r="C57" t="s">
        <v>759</v>
      </c>
      <c r="D57">
        <v>3.7354099999999999</v>
      </c>
      <c r="E57">
        <v>3.8080099999999999</v>
      </c>
      <c r="F57">
        <v>3.5306700000000002</v>
      </c>
      <c r="G57">
        <v>3.96156</v>
      </c>
      <c r="H57">
        <v>3.5815600000000001</v>
      </c>
      <c r="I57">
        <v>3.57491</v>
      </c>
      <c r="J57">
        <v>4.1117299999999997</v>
      </c>
      <c r="K57">
        <v>3.86768</v>
      </c>
      <c r="L57">
        <v>3.6450300000000002</v>
      </c>
      <c r="M57">
        <v>3.8091599999999999</v>
      </c>
      <c r="N57">
        <v>4.1230599999999997</v>
      </c>
      <c r="O57">
        <v>3.7896899999999998</v>
      </c>
      <c r="P57" t="str">
        <f>_xlfn.XLOOKUP($A57, DEG!$B:$B, DEG!$E:$E, "not sig")</f>
        <v>not sig</v>
      </c>
      <c r="Q57" t="str">
        <f>IFERROR(VALUE(_xlfn.XLOOKUP($A57, DEG!$B:$B, DEG!$D:$D)), "")</f>
        <v/>
      </c>
    </row>
    <row r="58" spans="1:17" x14ac:dyDescent="0.3">
      <c r="A58" t="s">
        <v>850</v>
      </c>
      <c r="B58" t="s">
        <v>851</v>
      </c>
      <c r="C58" t="s">
        <v>759</v>
      </c>
      <c r="D58">
        <v>6.3236299999999996</v>
      </c>
      <c r="E58">
        <v>6.6314900000000003</v>
      </c>
      <c r="F58">
        <v>6.6692600000000004</v>
      </c>
      <c r="G58">
        <v>6.1942399999999997</v>
      </c>
      <c r="H58">
        <v>5.8407</v>
      </c>
      <c r="I58">
        <v>6.1278600000000001</v>
      </c>
      <c r="J58">
        <v>7.5440199999999997</v>
      </c>
      <c r="K58">
        <v>6.9607999999999999</v>
      </c>
      <c r="L58">
        <v>6.7716900000000004</v>
      </c>
      <c r="M58">
        <v>6.5594999999999999</v>
      </c>
      <c r="N58">
        <v>6.8465999999999996</v>
      </c>
      <c r="O58">
        <v>6.8590099999999996</v>
      </c>
      <c r="P58" t="str">
        <f>_xlfn.XLOOKUP($A58, DEG!$B:$B, DEG!$E:$E, "not sig")</f>
        <v>not sig</v>
      </c>
      <c r="Q58" t="str">
        <f>IFERROR(VALUE(_xlfn.XLOOKUP($A58, DEG!$B:$B, DEG!$D:$D)), "")</f>
        <v/>
      </c>
    </row>
    <row r="59" spans="1:17" x14ac:dyDescent="0.3">
      <c r="A59" t="s">
        <v>852</v>
      </c>
      <c r="B59" t="s">
        <v>853</v>
      </c>
      <c r="C59" t="s">
        <v>759</v>
      </c>
      <c r="D59">
        <v>4.4163899999999998</v>
      </c>
      <c r="E59">
        <v>4.6370199999999997</v>
      </c>
      <c r="F59">
        <v>4.5609299999999999</v>
      </c>
      <c r="G59">
        <v>4.5499400000000003</v>
      </c>
      <c r="H59">
        <v>4.5136399999999997</v>
      </c>
      <c r="I59">
        <v>4.5991400000000002</v>
      </c>
      <c r="J59">
        <v>3.95309</v>
      </c>
      <c r="K59">
        <v>4.3924899999999996</v>
      </c>
      <c r="L59">
        <v>4.5590099999999998</v>
      </c>
      <c r="M59">
        <v>4.46713</v>
      </c>
      <c r="N59">
        <v>4.8819900000000001</v>
      </c>
      <c r="O59">
        <v>4.6050199999999997</v>
      </c>
      <c r="P59" t="str">
        <f>_xlfn.XLOOKUP($A59, DEG!$B:$B, DEG!$E:$E, "not sig")</f>
        <v>not sig</v>
      </c>
      <c r="Q59" t="str">
        <f>IFERROR(VALUE(_xlfn.XLOOKUP($A59, DEG!$B:$B, DEG!$D:$D)), "")</f>
        <v/>
      </c>
    </row>
    <row r="60" spans="1:17" x14ac:dyDescent="0.3">
      <c r="A60" t="s">
        <v>854</v>
      </c>
      <c r="B60" t="s">
        <v>855</v>
      </c>
      <c r="C60" t="s">
        <v>759</v>
      </c>
      <c r="D60">
        <v>3.7880099999999999</v>
      </c>
      <c r="E60">
        <v>3.9127900000000002</v>
      </c>
      <c r="F60">
        <v>3.6922199999999998</v>
      </c>
      <c r="G60">
        <v>4.3670999999999998</v>
      </c>
      <c r="H60">
        <v>3.8921299999999999</v>
      </c>
      <c r="I60">
        <v>3.8428200000000001</v>
      </c>
      <c r="J60">
        <v>4.2911200000000003</v>
      </c>
      <c r="K60">
        <v>3.9666600000000001</v>
      </c>
      <c r="L60">
        <v>3.8409599999999999</v>
      </c>
      <c r="M60">
        <v>4.2915999999999999</v>
      </c>
      <c r="N60">
        <v>3.5622400000000001</v>
      </c>
      <c r="O60">
        <v>4.1761100000000004</v>
      </c>
      <c r="P60" t="str">
        <f>_xlfn.XLOOKUP($A60, DEG!$B:$B, DEG!$E:$E, "not sig")</f>
        <v>not sig</v>
      </c>
      <c r="Q60" t="str">
        <f>IFERROR(VALUE(_xlfn.XLOOKUP($A60, DEG!$B:$B, DEG!$D:$D)), "")</f>
        <v/>
      </c>
    </row>
    <row r="61" spans="1:17" x14ac:dyDescent="0.3">
      <c r="A61" t="s">
        <v>856</v>
      </c>
      <c r="B61" t="s">
        <v>857</v>
      </c>
      <c r="C61" t="s">
        <v>759</v>
      </c>
      <c r="D61">
        <v>6.6863599999999996</v>
      </c>
      <c r="E61">
        <v>6.7886899999999999</v>
      </c>
      <c r="F61">
        <v>6.6406000000000001</v>
      </c>
      <c r="G61">
        <v>6.6069000000000004</v>
      </c>
      <c r="H61">
        <v>6.8837400000000004</v>
      </c>
      <c r="I61">
        <v>6.5966800000000001</v>
      </c>
      <c r="J61">
        <v>7.3565199999999997</v>
      </c>
      <c r="K61">
        <v>6.7726600000000001</v>
      </c>
      <c r="L61">
        <v>6.9375299999999998</v>
      </c>
      <c r="M61">
        <v>7.0438999999999998</v>
      </c>
      <c r="N61">
        <v>6.8459899999999996</v>
      </c>
      <c r="O61">
        <v>7.2121399999999998</v>
      </c>
      <c r="P61" t="str">
        <f>_xlfn.XLOOKUP($A61, DEG!$B:$B, DEG!$E:$E, "not sig")</f>
        <v>not sig</v>
      </c>
      <c r="Q61" t="str">
        <f>IFERROR(VALUE(_xlfn.XLOOKUP($A61, DEG!$B:$B, DEG!$D:$D)), "")</f>
        <v/>
      </c>
    </row>
    <row r="62" spans="1:17" x14ac:dyDescent="0.3">
      <c r="A62" t="s">
        <v>858</v>
      </c>
      <c r="B62" t="s">
        <v>859</v>
      </c>
      <c r="C62" t="s">
        <v>759</v>
      </c>
      <c r="D62">
        <v>5.4419300000000002</v>
      </c>
      <c r="E62">
        <v>5.1904899999999996</v>
      </c>
      <c r="F62">
        <v>5.31698</v>
      </c>
      <c r="G62">
        <v>5.2183299999999999</v>
      </c>
      <c r="H62">
        <v>5.7070699999999999</v>
      </c>
      <c r="I62">
        <v>5.7149999999999999</v>
      </c>
      <c r="J62">
        <v>4.9931400000000004</v>
      </c>
      <c r="K62">
        <v>5.5994700000000002</v>
      </c>
      <c r="L62">
        <v>5.7281300000000002</v>
      </c>
      <c r="M62">
        <v>5.4169499999999999</v>
      </c>
      <c r="N62">
        <v>5.1017599999999996</v>
      </c>
      <c r="O62">
        <v>5.2508299999999997</v>
      </c>
      <c r="P62" t="str">
        <f>_xlfn.XLOOKUP($A62, DEG!$B:$B, DEG!$E:$E, "not sig")</f>
        <v>not sig</v>
      </c>
      <c r="Q62" t="str">
        <f>IFERROR(VALUE(_xlfn.XLOOKUP($A62, DEG!$B:$B, DEG!$D:$D)), "")</f>
        <v/>
      </c>
    </row>
    <row r="63" spans="1:17" x14ac:dyDescent="0.3">
      <c r="A63" t="s">
        <v>860</v>
      </c>
      <c r="B63" t="s">
        <v>861</v>
      </c>
      <c r="C63" t="s">
        <v>759</v>
      </c>
      <c r="D63">
        <v>6.6312300000000004</v>
      </c>
      <c r="E63">
        <v>6.8357900000000003</v>
      </c>
      <c r="F63">
        <v>6.8650799999999998</v>
      </c>
      <c r="G63">
        <v>6.8698300000000003</v>
      </c>
      <c r="H63">
        <v>7.1588799999999999</v>
      </c>
      <c r="I63">
        <v>6.9568500000000002</v>
      </c>
      <c r="J63">
        <v>6.5180699999999998</v>
      </c>
      <c r="K63">
        <v>6.9935700000000001</v>
      </c>
      <c r="L63">
        <v>7.2407500000000002</v>
      </c>
      <c r="M63">
        <v>6.6945800000000002</v>
      </c>
      <c r="N63">
        <v>6.8784200000000002</v>
      </c>
      <c r="O63">
        <v>6.5940200000000004</v>
      </c>
      <c r="P63" t="str">
        <f>_xlfn.XLOOKUP($A63, DEG!$B:$B, DEG!$E:$E, "not sig")</f>
        <v>not sig</v>
      </c>
      <c r="Q63" t="str">
        <f>IFERROR(VALUE(_xlfn.XLOOKUP($A63, DEG!$B:$B, DEG!$D:$D)), "")</f>
        <v/>
      </c>
    </row>
    <row r="64" spans="1:17" x14ac:dyDescent="0.3">
      <c r="A64" t="s">
        <v>862</v>
      </c>
      <c r="B64" t="s">
        <v>863</v>
      </c>
      <c r="C64" t="s">
        <v>759</v>
      </c>
      <c r="D64">
        <v>7.0062600000000002</v>
      </c>
      <c r="E64">
        <v>6.9580500000000001</v>
      </c>
      <c r="F64">
        <v>7.2075899999999997</v>
      </c>
      <c r="G64">
        <v>6.7745699999999998</v>
      </c>
      <c r="H64">
        <v>7.1111500000000003</v>
      </c>
      <c r="I64">
        <v>6.9694000000000003</v>
      </c>
      <c r="J64">
        <v>7.1409799999999999</v>
      </c>
      <c r="K64">
        <v>7.1423399999999999</v>
      </c>
      <c r="L64">
        <v>6.8464400000000003</v>
      </c>
      <c r="M64">
        <v>6.7021499999999996</v>
      </c>
      <c r="N64">
        <v>6.9967199999999998</v>
      </c>
      <c r="O64">
        <v>6.9936800000000003</v>
      </c>
      <c r="P64" t="str">
        <f>_xlfn.XLOOKUP($A64, DEG!$B:$B, DEG!$E:$E, "not sig")</f>
        <v>not sig</v>
      </c>
      <c r="Q64" t="str">
        <f>IFERROR(VALUE(_xlfn.XLOOKUP($A64, DEG!$B:$B, DEG!$D:$D)), "")</f>
        <v/>
      </c>
    </row>
    <row r="65" spans="1:17" x14ac:dyDescent="0.3">
      <c r="A65" t="s">
        <v>864</v>
      </c>
      <c r="B65" t="s">
        <v>865</v>
      </c>
      <c r="C65" t="s">
        <v>759</v>
      </c>
      <c r="D65">
        <v>8.3862299999999994</v>
      </c>
      <c r="E65">
        <v>8.5395099999999999</v>
      </c>
      <c r="F65">
        <v>8.2577300000000005</v>
      </c>
      <c r="G65">
        <v>8.5438299999999998</v>
      </c>
      <c r="H65">
        <v>8.2412399999999995</v>
      </c>
      <c r="I65">
        <v>8.3914200000000001</v>
      </c>
      <c r="J65">
        <v>9.2327700000000004</v>
      </c>
      <c r="K65">
        <v>8.8748400000000007</v>
      </c>
      <c r="L65">
        <v>8.4655699999999996</v>
      </c>
      <c r="M65">
        <v>8.8291299999999993</v>
      </c>
      <c r="N65">
        <v>8.4647100000000002</v>
      </c>
      <c r="O65">
        <v>9.1812900000000006</v>
      </c>
      <c r="P65" t="str">
        <f>_xlfn.XLOOKUP($A65, DEG!$B:$B, DEG!$E:$E, "not sig")</f>
        <v>not sig</v>
      </c>
      <c r="Q65" t="str">
        <f>IFERROR(VALUE(_xlfn.XLOOKUP($A65, DEG!$B:$B, DEG!$D:$D)), "")</f>
        <v/>
      </c>
    </row>
    <row r="66" spans="1:17" x14ac:dyDescent="0.3">
      <c r="A66" t="s">
        <v>866</v>
      </c>
      <c r="B66" t="s">
        <v>867</v>
      </c>
      <c r="C66" t="s">
        <v>759</v>
      </c>
      <c r="D66">
        <v>3.6993200000000002</v>
      </c>
      <c r="E66">
        <v>3.54541</v>
      </c>
      <c r="F66">
        <v>3.6143999999999998</v>
      </c>
      <c r="G66">
        <v>3.6097899999999998</v>
      </c>
      <c r="H66">
        <v>3.37906</v>
      </c>
      <c r="I66">
        <v>3.7023199999999998</v>
      </c>
      <c r="J66">
        <v>3.5587</v>
      </c>
      <c r="K66">
        <v>4.0889199999999999</v>
      </c>
      <c r="L66">
        <v>3.56928</v>
      </c>
      <c r="M66">
        <v>3.7361499999999999</v>
      </c>
      <c r="N66">
        <v>4.3828399999999998</v>
      </c>
      <c r="O66">
        <v>3.6901000000000002</v>
      </c>
      <c r="P66" t="str">
        <f>_xlfn.XLOOKUP($A66, DEG!$B:$B, DEG!$E:$E, "not sig")</f>
        <v>not sig</v>
      </c>
      <c r="Q66" t="str">
        <f>IFERROR(VALUE(_xlfn.XLOOKUP($A66, DEG!$B:$B, DEG!$D:$D)), "")</f>
        <v/>
      </c>
    </row>
    <row r="67" spans="1:17" x14ac:dyDescent="0.3">
      <c r="A67" t="s">
        <v>868</v>
      </c>
      <c r="B67" t="s">
        <v>869</v>
      </c>
      <c r="C67" t="s">
        <v>759</v>
      </c>
      <c r="D67">
        <v>4.5696599999999998</v>
      </c>
      <c r="E67">
        <v>4.38748</v>
      </c>
      <c r="F67">
        <v>4.1731100000000003</v>
      </c>
      <c r="G67">
        <v>4.06508</v>
      </c>
      <c r="H67">
        <v>4.42469</v>
      </c>
      <c r="I67">
        <v>4.45899</v>
      </c>
      <c r="J67">
        <v>4.6876499999999997</v>
      </c>
      <c r="K67">
        <v>4.6018999999999997</v>
      </c>
      <c r="L67">
        <v>4.5175700000000001</v>
      </c>
      <c r="M67">
        <v>4.7596499999999997</v>
      </c>
      <c r="N67">
        <v>4.6474299999999999</v>
      </c>
      <c r="O67">
        <v>4.6654</v>
      </c>
      <c r="P67" t="str">
        <f>_xlfn.XLOOKUP($A67, DEG!$B:$B, DEG!$E:$E, "not sig")</f>
        <v>not sig</v>
      </c>
      <c r="Q67" t="str">
        <f>IFERROR(VALUE(_xlfn.XLOOKUP($A67, DEG!$B:$B, DEG!$D:$D)), "")</f>
        <v/>
      </c>
    </row>
    <row r="68" spans="1:17" x14ac:dyDescent="0.3">
      <c r="A68" t="s">
        <v>870</v>
      </c>
      <c r="B68" t="s">
        <v>871</v>
      </c>
      <c r="C68" t="s">
        <v>759</v>
      </c>
      <c r="D68">
        <v>5.5113700000000003</v>
      </c>
      <c r="E68">
        <v>5.3462899999999998</v>
      </c>
      <c r="F68">
        <v>5.2968500000000001</v>
      </c>
      <c r="G68">
        <v>5.3371199999999996</v>
      </c>
      <c r="H68">
        <v>5.37948</v>
      </c>
      <c r="I68">
        <v>5.2883899999999997</v>
      </c>
      <c r="J68">
        <v>4.9473099999999999</v>
      </c>
      <c r="K68">
        <v>5.3774600000000001</v>
      </c>
      <c r="L68">
        <v>5.4895500000000004</v>
      </c>
      <c r="M68">
        <v>5.1182100000000004</v>
      </c>
      <c r="N68">
        <v>5.1697300000000004</v>
      </c>
      <c r="O68">
        <v>5.0861499999999999</v>
      </c>
      <c r="P68" t="str">
        <f>_xlfn.XLOOKUP($A68, DEG!$B:$B, DEG!$E:$E, "not sig")</f>
        <v>not sig</v>
      </c>
      <c r="Q68" t="str">
        <f>IFERROR(VALUE(_xlfn.XLOOKUP($A68, DEG!$B:$B, DEG!$D:$D)), "")</f>
        <v/>
      </c>
    </row>
    <row r="69" spans="1:17" x14ac:dyDescent="0.3">
      <c r="A69" t="s">
        <v>31</v>
      </c>
      <c r="B69" t="s">
        <v>30</v>
      </c>
      <c r="C69" t="s">
        <v>756</v>
      </c>
      <c r="D69">
        <v>4.5470600000000001</v>
      </c>
      <c r="E69">
        <v>4.43309</v>
      </c>
      <c r="F69">
        <v>4.54251</v>
      </c>
      <c r="G69">
        <v>4.6328800000000001</v>
      </c>
      <c r="H69">
        <v>4.4048299999999996</v>
      </c>
      <c r="I69">
        <v>4.6257999999999999</v>
      </c>
      <c r="J69">
        <v>8.4664900000000003</v>
      </c>
      <c r="K69">
        <v>7.3524000000000003</v>
      </c>
      <c r="L69">
        <v>6.7341800000000003</v>
      </c>
      <c r="M69">
        <v>7.2452800000000002</v>
      </c>
      <c r="N69">
        <v>7.16411</v>
      </c>
      <c r="O69">
        <v>8.2263400000000004</v>
      </c>
      <c r="P69">
        <f>_xlfn.XLOOKUP($A69, DEG!$B:$B, DEG!$E:$E, "not sig")</f>
        <v>1.5278080014457301E-5</v>
      </c>
      <c r="Q69">
        <f>IFERROR(VALUE(_xlfn.XLOOKUP($A69, DEG!$B:$B, DEG!$D:$D)), "")</f>
        <v>3.0004383333333302</v>
      </c>
    </row>
    <row r="70" spans="1:17" x14ac:dyDescent="0.3">
      <c r="A70" t="s">
        <v>551</v>
      </c>
      <c r="B70" t="s">
        <v>550</v>
      </c>
      <c r="C70" t="s">
        <v>756</v>
      </c>
      <c r="D70">
        <v>5.56243</v>
      </c>
      <c r="E70">
        <v>5.7399300000000002</v>
      </c>
      <c r="F70">
        <v>5.5590200000000003</v>
      </c>
      <c r="G70">
        <v>5.61</v>
      </c>
      <c r="H70">
        <v>5.6652399999999998</v>
      </c>
      <c r="I70">
        <v>5.5405499999999996</v>
      </c>
      <c r="J70">
        <v>7.4350899999999998</v>
      </c>
      <c r="K70">
        <v>6.7208199999999998</v>
      </c>
      <c r="L70">
        <v>6.4619900000000001</v>
      </c>
      <c r="M70">
        <v>6.84274</v>
      </c>
      <c r="N70">
        <v>6.0694800000000004</v>
      </c>
      <c r="O70">
        <v>7.1707599999999996</v>
      </c>
      <c r="P70">
        <f>_xlfn.XLOOKUP($A70, DEG!$B:$B, DEG!$E:$E, "not sig")</f>
        <v>7.7064939584855401E-4</v>
      </c>
      <c r="Q70">
        <f>IFERROR(VALUE(_xlfn.XLOOKUP($A70, DEG!$B:$B, DEG!$D:$D)), "")</f>
        <v>1.17061833333333</v>
      </c>
    </row>
    <row r="71" spans="1:17" x14ac:dyDescent="0.3">
      <c r="A71" t="s">
        <v>872</v>
      </c>
      <c r="B71" t="s">
        <v>873</v>
      </c>
      <c r="C71" t="s">
        <v>759</v>
      </c>
      <c r="D71">
        <v>6.2564799999999998</v>
      </c>
      <c r="E71">
        <v>6.1458399999999997</v>
      </c>
      <c r="F71">
        <v>6.3023199999999999</v>
      </c>
      <c r="G71">
        <v>6.4684600000000003</v>
      </c>
      <c r="H71">
        <v>6.1222799999999999</v>
      </c>
      <c r="I71">
        <v>6.50251</v>
      </c>
      <c r="J71">
        <v>6.9594199999999997</v>
      </c>
      <c r="K71">
        <v>6.8089899999999997</v>
      </c>
      <c r="L71">
        <v>6.9777399999999998</v>
      </c>
      <c r="M71">
        <v>6.3969199999999997</v>
      </c>
      <c r="N71">
        <v>7.1435899999999997</v>
      </c>
      <c r="O71">
        <v>7.2955199999999998</v>
      </c>
      <c r="P71" t="str">
        <f>_xlfn.XLOOKUP($A71, DEG!$B:$B, DEG!$E:$E, "not sig")</f>
        <v>not sig</v>
      </c>
      <c r="Q71" t="str">
        <f>IFERROR(VALUE(_xlfn.XLOOKUP($A71, DEG!$B:$B, DEG!$D:$D)), "")</f>
        <v/>
      </c>
    </row>
    <row r="72" spans="1:17" x14ac:dyDescent="0.3">
      <c r="A72" t="s">
        <v>874</v>
      </c>
      <c r="B72" t="s">
        <v>875</v>
      </c>
      <c r="C72" t="s">
        <v>759</v>
      </c>
      <c r="D72">
        <v>4.1236899999999999</v>
      </c>
      <c r="E72">
        <v>4.4103399999999997</v>
      </c>
      <c r="F72">
        <v>4.1361600000000003</v>
      </c>
      <c r="G72">
        <v>4.5263799999999996</v>
      </c>
      <c r="H72">
        <v>3.9922900000000001</v>
      </c>
      <c r="I72">
        <v>4.5400900000000002</v>
      </c>
      <c r="J72">
        <v>4.4627100000000004</v>
      </c>
      <c r="K72">
        <v>4.3723900000000002</v>
      </c>
      <c r="L72">
        <v>4.30227</v>
      </c>
      <c r="M72">
        <v>4.45085</v>
      </c>
      <c r="N72">
        <v>4.70763</v>
      </c>
      <c r="O72">
        <v>4.46889</v>
      </c>
      <c r="P72" t="str">
        <f>_xlfn.XLOOKUP($A72, DEG!$B:$B, DEG!$E:$E, "not sig")</f>
        <v>not sig</v>
      </c>
      <c r="Q72" t="str">
        <f>IFERROR(VALUE(_xlfn.XLOOKUP($A72, DEG!$B:$B, DEG!$D:$D)), "")</f>
        <v/>
      </c>
    </row>
    <row r="73" spans="1:17" x14ac:dyDescent="0.3">
      <c r="A73" t="s">
        <v>876</v>
      </c>
      <c r="B73" t="s">
        <v>877</v>
      </c>
      <c r="C73" t="s">
        <v>759</v>
      </c>
      <c r="D73">
        <v>4.7513500000000004</v>
      </c>
      <c r="E73">
        <v>4.7338100000000001</v>
      </c>
      <c r="F73">
        <v>4.6796300000000004</v>
      </c>
      <c r="G73">
        <v>5.0461400000000003</v>
      </c>
      <c r="H73">
        <v>4.8216000000000001</v>
      </c>
      <c r="I73">
        <v>4.6872299999999996</v>
      </c>
      <c r="J73">
        <v>5.5156000000000001</v>
      </c>
      <c r="K73">
        <v>5.2938299999999998</v>
      </c>
      <c r="L73">
        <v>4.9955100000000003</v>
      </c>
      <c r="M73">
        <v>5.0859100000000002</v>
      </c>
      <c r="N73">
        <v>4.8345900000000004</v>
      </c>
      <c r="O73">
        <v>5.48848</v>
      </c>
      <c r="P73" t="str">
        <f>_xlfn.XLOOKUP($A73, DEG!$B:$B, DEG!$E:$E, "not sig")</f>
        <v>not sig</v>
      </c>
      <c r="Q73" t="str">
        <f>IFERROR(VALUE(_xlfn.XLOOKUP($A73, DEG!$B:$B, DEG!$D:$D)), "")</f>
        <v/>
      </c>
    </row>
    <row r="74" spans="1:17" x14ac:dyDescent="0.3">
      <c r="A74" t="s">
        <v>878</v>
      </c>
      <c r="B74" t="s">
        <v>879</v>
      </c>
      <c r="C74" t="s">
        <v>759</v>
      </c>
      <c r="D74">
        <v>8.6147399999999994</v>
      </c>
      <c r="E74">
        <v>8.7834199999999996</v>
      </c>
      <c r="F74">
        <v>8.7340199999999992</v>
      </c>
      <c r="G74">
        <v>8.4943100000000005</v>
      </c>
      <c r="H74">
        <v>8.4358299999999993</v>
      </c>
      <c r="I74">
        <v>8.38795</v>
      </c>
      <c r="J74">
        <v>8.3926099999999995</v>
      </c>
      <c r="K74">
        <v>8.4738600000000002</v>
      </c>
      <c r="L74">
        <v>8.4192699999999991</v>
      </c>
      <c r="M74">
        <v>8.3253299999999992</v>
      </c>
      <c r="N74">
        <v>8.6842199999999998</v>
      </c>
      <c r="O74">
        <v>8.5132899999999996</v>
      </c>
      <c r="P74" t="str">
        <f>_xlfn.XLOOKUP($A74, DEG!$B:$B, DEG!$E:$E, "not sig")</f>
        <v>not sig</v>
      </c>
      <c r="Q74" t="str">
        <f>IFERROR(VALUE(_xlfn.XLOOKUP($A74, DEG!$B:$B, DEG!$D:$D)), "")</f>
        <v/>
      </c>
    </row>
    <row r="75" spans="1:17" x14ac:dyDescent="0.3">
      <c r="A75" t="s">
        <v>880</v>
      </c>
      <c r="B75" t="s">
        <v>881</v>
      </c>
      <c r="C75" t="s">
        <v>759</v>
      </c>
      <c r="D75">
        <v>3.93201</v>
      </c>
      <c r="E75">
        <v>3.8162500000000001</v>
      </c>
      <c r="F75">
        <v>3.8007900000000001</v>
      </c>
      <c r="G75">
        <v>3.8162500000000001</v>
      </c>
      <c r="H75">
        <v>3.63314</v>
      </c>
      <c r="I75">
        <v>3.7522899999999999</v>
      </c>
      <c r="J75">
        <v>4.1259899999999998</v>
      </c>
      <c r="K75">
        <v>3.7306599999999999</v>
      </c>
      <c r="L75">
        <v>3.7208100000000002</v>
      </c>
      <c r="M75">
        <v>3.8374000000000001</v>
      </c>
      <c r="N75">
        <v>3.7839100000000001</v>
      </c>
      <c r="O75">
        <v>3.7982800000000001</v>
      </c>
      <c r="P75" t="str">
        <f>_xlfn.XLOOKUP($A75, DEG!$B:$B, DEG!$E:$E, "not sig")</f>
        <v>not sig</v>
      </c>
      <c r="Q75" t="str">
        <f>IFERROR(VALUE(_xlfn.XLOOKUP($A75, DEG!$B:$B, DEG!$D:$D)), "")</f>
        <v/>
      </c>
    </row>
    <row r="76" spans="1:17" x14ac:dyDescent="0.3">
      <c r="A76" t="s">
        <v>347</v>
      </c>
      <c r="B76" t="s">
        <v>346</v>
      </c>
      <c r="C76" t="s">
        <v>756</v>
      </c>
      <c r="D76">
        <v>5.2899599999999998</v>
      </c>
      <c r="E76">
        <v>5.3440799999999999</v>
      </c>
      <c r="F76">
        <v>5.0567700000000002</v>
      </c>
      <c r="G76">
        <v>5.0264300000000004</v>
      </c>
      <c r="H76">
        <v>4.8606199999999999</v>
      </c>
      <c r="I76">
        <v>5.1429</v>
      </c>
      <c r="J76">
        <v>7.3600700000000003</v>
      </c>
      <c r="K76">
        <v>6.4389099999999999</v>
      </c>
      <c r="L76">
        <v>5.9114899999999997</v>
      </c>
      <c r="M76">
        <v>6.8441799999999997</v>
      </c>
      <c r="N76">
        <v>6.0101599999999999</v>
      </c>
      <c r="O76">
        <v>6.8864000000000001</v>
      </c>
      <c r="P76">
        <f>_xlfn.XLOOKUP($A76, DEG!$B:$B, DEG!$E:$E, "not sig")</f>
        <v>5.2559898161074696E-4</v>
      </c>
      <c r="Q76">
        <f>IFERROR(VALUE(_xlfn.XLOOKUP($A76, DEG!$B:$B, DEG!$D:$D)), "")</f>
        <v>1.4550749999999999</v>
      </c>
    </row>
    <row r="77" spans="1:17" x14ac:dyDescent="0.3">
      <c r="A77" t="s">
        <v>882</v>
      </c>
      <c r="B77" t="s">
        <v>883</v>
      </c>
      <c r="C77" t="s">
        <v>759</v>
      </c>
      <c r="D77">
        <v>4.7893600000000003</v>
      </c>
      <c r="E77">
        <v>4.4634499999999999</v>
      </c>
      <c r="F77">
        <v>4.60025</v>
      </c>
      <c r="G77">
        <v>4.4371</v>
      </c>
      <c r="H77">
        <v>4.4499599999999999</v>
      </c>
      <c r="I77">
        <v>4.5446999999999997</v>
      </c>
      <c r="J77">
        <v>4.1769400000000001</v>
      </c>
      <c r="K77">
        <v>4.4964300000000001</v>
      </c>
      <c r="L77">
        <v>4.3797300000000003</v>
      </c>
      <c r="M77">
        <v>4.3177300000000001</v>
      </c>
      <c r="N77">
        <v>4.2488200000000003</v>
      </c>
      <c r="O77">
        <v>4.1496500000000003</v>
      </c>
      <c r="P77" t="str">
        <f>_xlfn.XLOOKUP($A77, DEG!$B:$B, DEG!$E:$E, "not sig")</f>
        <v>not sig</v>
      </c>
      <c r="Q77" t="str">
        <f>IFERROR(VALUE(_xlfn.XLOOKUP($A77, DEG!$B:$B, DEG!$D:$D)), "")</f>
        <v/>
      </c>
    </row>
    <row r="78" spans="1:17" x14ac:dyDescent="0.3">
      <c r="A78" t="s">
        <v>884</v>
      </c>
      <c r="B78" t="s">
        <v>885</v>
      </c>
      <c r="C78" t="s">
        <v>759</v>
      </c>
      <c r="D78">
        <v>3.6033300000000001</v>
      </c>
      <c r="E78">
        <v>3.7114400000000001</v>
      </c>
      <c r="F78">
        <v>3.6310099999999998</v>
      </c>
      <c r="G78">
        <v>3.8099799999999999</v>
      </c>
      <c r="H78">
        <v>3.78661</v>
      </c>
      <c r="I78">
        <v>3.8469899999999999</v>
      </c>
      <c r="J78">
        <v>3.39852</v>
      </c>
      <c r="K78">
        <v>3.8172899999999998</v>
      </c>
      <c r="L78">
        <v>3.8385400000000001</v>
      </c>
      <c r="M78">
        <v>3.7468699999999999</v>
      </c>
      <c r="N78">
        <v>3.5900500000000002</v>
      </c>
      <c r="O78">
        <v>3.4697399999999998</v>
      </c>
      <c r="P78" t="str">
        <f>_xlfn.XLOOKUP($A78, DEG!$B:$B, DEG!$E:$E, "not sig")</f>
        <v>not sig</v>
      </c>
      <c r="Q78" t="str">
        <f>IFERROR(VALUE(_xlfn.XLOOKUP($A78, DEG!$B:$B, DEG!$D:$D)), "")</f>
        <v/>
      </c>
    </row>
    <row r="79" spans="1:17" x14ac:dyDescent="0.3">
      <c r="A79" t="s">
        <v>52</v>
      </c>
      <c r="B79" t="s">
        <v>51</v>
      </c>
      <c r="C79" t="s">
        <v>756</v>
      </c>
      <c r="D79">
        <v>5.84382</v>
      </c>
      <c r="E79">
        <v>5.8022900000000002</v>
      </c>
      <c r="F79">
        <v>5.6160399999999999</v>
      </c>
      <c r="G79">
        <v>5.8741099999999999</v>
      </c>
      <c r="H79">
        <v>5.3983499999999998</v>
      </c>
      <c r="I79">
        <v>5.7727000000000004</v>
      </c>
      <c r="J79">
        <v>9.1072299999999995</v>
      </c>
      <c r="K79">
        <v>7.8834999999999997</v>
      </c>
      <c r="L79">
        <v>7.6596000000000002</v>
      </c>
      <c r="M79">
        <v>8.2975200000000005</v>
      </c>
      <c r="N79">
        <v>7.9933899999999998</v>
      </c>
      <c r="O79">
        <v>9.1781699999999997</v>
      </c>
      <c r="P79">
        <f>_xlfn.XLOOKUP($A79, DEG!$B:$B, DEG!$E:$E, "not sig")</f>
        <v>1.5710530826301199E-5</v>
      </c>
      <c r="Q79">
        <f>IFERROR(VALUE(_xlfn.XLOOKUP($A79, DEG!$B:$B, DEG!$D:$D)), "")</f>
        <v>2.6353499999999999</v>
      </c>
    </row>
    <row r="80" spans="1:17" x14ac:dyDescent="0.3">
      <c r="A80" t="s">
        <v>886</v>
      </c>
      <c r="B80" t="s">
        <v>887</v>
      </c>
      <c r="C80" t="s">
        <v>759</v>
      </c>
      <c r="D80">
        <v>6.6110300000000004</v>
      </c>
      <c r="E80">
        <v>6.5984999999999996</v>
      </c>
      <c r="F80">
        <v>6.72919</v>
      </c>
      <c r="G80">
        <v>6.8467000000000002</v>
      </c>
      <c r="H80">
        <v>6.4993600000000002</v>
      </c>
      <c r="I80">
        <v>6.2801900000000002</v>
      </c>
      <c r="J80">
        <v>6.5505800000000001</v>
      </c>
      <c r="K80">
        <v>6.5237400000000001</v>
      </c>
      <c r="L80">
        <v>6.5390899999999998</v>
      </c>
      <c r="M80">
        <v>6.8312900000000001</v>
      </c>
      <c r="N80">
        <v>6.3381400000000001</v>
      </c>
      <c r="O80">
        <v>6.6455099999999998</v>
      </c>
      <c r="P80" t="str">
        <f>_xlfn.XLOOKUP($A80, DEG!$B:$B, DEG!$E:$E, "not sig")</f>
        <v>not sig</v>
      </c>
      <c r="Q80" t="str">
        <f>IFERROR(VALUE(_xlfn.XLOOKUP($A80, DEG!$B:$B, DEG!$D:$D)), "")</f>
        <v/>
      </c>
    </row>
  </sheetData>
  <autoFilter ref="A1:Q80" xr:uid="{110DC922-B60A-4FE8-BF98-52BF1674F95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B2342-0A32-4694-AFBD-C96D1896E4D6}">
  <dimension ref="A1:F246"/>
  <sheetViews>
    <sheetView workbookViewId="0">
      <selection activeCell="E16" sqref="E16"/>
    </sheetView>
  </sheetViews>
  <sheetFormatPr defaultRowHeight="14.4" x14ac:dyDescent="0.3"/>
  <cols>
    <col min="1" max="1" width="33" customWidth="1"/>
    <col min="5" max="5" width="21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54123</v>
      </c>
      <c r="D2">
        <v>3.6411016666666698</v>
      </c>
      <c r="E2" s="2">
        <v>4.1044874643107998E-7</v>
      </c>
      <c r="F2" t="s">
        <v>8</v>
      </c>
    </row>
    <row r="3" spans="1:6" x14ac:dyDescent="0.3">
      <c r="A3" t="s">
        <v>9</v>
      </c>
      <c r="B3" t="s">
        <v>10</v>
      </c>
      <c r="C3">
        <v>246256</v>
      </c>
      <c r="D3">
        <v>3.3842583333333298</v>
      </c>
      <c r="E3" s="2">
        <v>2.1122919794374501E-5</v>
      </c>
      <c r="F3" t="s">
        <v>11</v>
      </c>
    </row>
    <row r="4" spans="1:6" x14ac:dyDescent="0.3">
      <c r="A4" t="s">
        <v>12</v>
      </c>
      <c r="B4" t="s">
        <v>13</v>
      </c>
      <c r="C4">
        <v>60440</v>
      </c>
      <c r="D4">
        <v>3.37845</v>
      </c>
      <c r="E4" s="2">
        <v>1.45789689989812E-5</v>
      </c>
      <c r="F4" t="s">
        <v>14</v>
      </c>
    </row>
    <row r="5" spans="1:6" x14ac:dyDescent="0.3">
      <c r="A5" t="s">
        <v>15</v>
      </c>
      <c r="B5" t="s">
        <v>16</v>
      </c>
      <c r="C5">
        <v>20307</v>
      </c>
      <c r="D5">
        <v>3.3031899999999998</v>
      </c>
      <c r="E5" s="2">
        <v>1.5363127448019001E-5</v>
      </c>
      <c r="F5" t="s">
        <v>17</v>
      </c>
    </row>
    <row r="6" spans="1:6" x14ac:dyDescent="0.3">
      <c r="A6" t="s">
        <v>18</v>
      </c>
      <c r="B6" t="s">
        <v>19</v>
      </c>
      <c r="C6">
        <v>225594</v>
      </c>
      <c r="D6">
        <v>3.2690183333333298</v>
      </c>
      <c r="E6" s="2">
        <v>1.5278080014457301E-5</v>
      </c>
      <c r="F6" t="s">
        <v>20</v>
      </c>
    </row>
    <row r="7" spans="1:6" x14ac:dyDescent="0.3">
      <c r="A7" t="s">
        <v>21</v>
      </c>
      <c r="B7" t="s">
        <v>22</v>
      </c>
      <c r="C7">
        <v>14962</v>
      </c>
      <c r="D7">
        <v>3.2685050000000002</v>
      </c>
      <c r="E7" s="2">
        <v>1.5363127448019001E-5</v>
      </c>
      <c r="F7" t="s">
        <v>23</v>
      </c>
    </row>
    <row r="8" spans="1:6" x14ac:dyDescent="0.3">
      <c r="A8" t="s">
        <v>24</v>
      </c>
      <c r="B8" t="s">
        <v>25</v>
      </c>
      <c r="C8">
        <v>15944</v>
      </c>
      <c r="D8">
        <v>3.2185433333333302</v>
      </c>
      <c r="E8" s="2">
        <v>8.75004388694597E-6</v>
      </c>
      <c r="F8" t="s">
        <v>26</v>
      </c>
    </row>
    <row r="9" spans="1:6" x14ac:dyDescent="0.3">
      <c r="A9" t="s">
        <v>27</v>
      </c>
      <c r="B9" t="s">
        <v>28</v>
      </c>
      <c r="C9">
        <v>12517</v>
      </c>
      <c r="D9">
        <v>3.0289566666666699</v>
      </c>
      <c r="E9" s="2">
        <v>1.5363127448019001E-5</v>
      </c>
      <c r="F9" t="s">
        <v>29</v>
      </c>
    </row>
    <row r="10" spans="1:6" x14ac:dyDescent="0.3">
      <c r="A10" t="s">
        <v>30</v>
      </c>
      <c r="B10" t="s">
        <v>31</v>
      </c>
      <c r="C10">
        <v>12772</v>
      </c>
      <c r="D10">
        <v>3.0004383333333302</v>
      </c>
      <c r="E10" s="2">
        <v>1.5278080014457301E-5</v>
      </c>
      <c r="F10" t="s">
        <v>32</v>
      </c>
    </row>
    <row r="11" spans="1:6" x14ac:dyDescent="0.3">
      <c r="A11" t="s">
        <v>33</v>
      </c>
      <c r="B11" t="s">
        <v>34</v>
      </c>
      <c r="C11">
        <v>12502</v>
      </c>
      <c r="D11">
        <v>2.9552983333333298</v>
      </c>
      <c r="E11" s="2">
        <v>1.5363127448019001E-5</v>
      </c>
      <c r="F11" t="s">
        <v>35</v>
      </c>
    </row>
    <row r="12" spans="1:6" x14ac:dyDescent="0.3">
      <c r="A12" t="s">
        <v>36</v>
      </c>
      <c r="B12" t="s">
        <v>37</v>
      </c>
      <c r="C12">
        <v>64380</v>
      </c>
      <c r="D12">
        <v>2.86917</v>
      </c>
      <c r="E12" s="2">
        <v>1.5710530826301199E-5</v>
      </c>
      <c r="F12" t="s">
        <v>38</v>
      </c>
    </row>
    <row r="13" spans="1:6" x14ac:dyDescent="0.3">
      <c r="A13" t="s">
        <v>39</v>
      </c>
      <c r="B13" t="s">
        <v>40</v>
      </c>
      <c r="C13">
        <v>231507</v>
      </c>
      <c r="D13">
        <v>2.7490316666666699</v>
      </c>
      <c r="E13" s="2">
        <v>4.9213973997573802E-5</v>
      </c>
      <c r="F13" t="s">
        <v>41</v>
      </c>
    </row>
    <row r="14" spans="1:6" x14ac:dyDescent="0.3">
      <c r="A14" t="s">
        <v>42</v>
      </c>
      <c r="B14" t="s">
        <v>43</v>
      </c>
      <c r="C14">
        <v>232413</v>
      </c>
      <c r="D14">
        <v>2.6841366666666699</v>
      </c>
      <c r="E14" s="2">
        <v>2.14758190458235E-5</v>
      </c>
      <c r="F14" t="s">
        <v>44</v>
      </c>
    </row>
    <row r="15" spans="1:6" x14ac:dyDescent="0.3">
      <c r="A15" t="s">
        <v>45</v>
      </c>
      <c r="B15" t="s">
        <v>46</v>
      </c>
      <c r="C15">
        <v>15959</v>
      </c>
      <c r="D15">
        <v>2.6693950000000002</v>
      </c>
      <c r="E15" s="2">
        <v>2.1122919794374501E-5</v>
      </c>
      <c r="F15" t="s">
        <v>47</v>
      </c>
    </row>
    <row r="16" spans="1:6" x14ac:dyDescent="0.3">
      <c r="A16" t="s">
        <v>48</v>
      </c>
      <c r="B16" t="s">
        <v>49</v>
      </c>
      <c r="C16">
        <v>55932</v>
      </c>
      <c r="D16">
        <v>2.6564966666666701</v>
      </c>
      <c r="E16" s="2">
        <v>1.5363127448019001E-5</v>
      </c>
      <c r="F16" t="s">
        <v>50</v>
      </c>
    </row>
    <row r="17" spans="1:6" x14ac:dyDescent="0.3">
      <c r="A17" t="s">
        <v>51</v>
      </c>
      <c r="B17" t="s">
        <v>52</v>
      </c>
      <c r="C17">
        <v>12774</v>
      </c>
      <c r="D17">
        <v>2.6353499999999999</v>
      </c>
      <c r="E17" s="2">
        <v>1.5710530826301199E-5</v>
      </c>
      <c r="F17" t="s">
        <v>53</v>
      </c>
    </row>
    <row r="18" spans="1:6" x14ac:dyDescent="0.3">
      <c r="A18" t="s">
        <v>54</v>
      </c>
      <c r="B18" t="s">
        <v>55</v>
      </c>
      <c r="C18">
        <v>23833</v>
      </c>
      <c r="D18">
        <v>2.5953383333333302</v>
      </c>
      <c r="E18" s="2">
        <v>1.5363127448019001E-5</v>
      </c>
      <c r="F18" t="s">
        <v>56</v>
      </c>
    </row>
    <row r="19" spans="1:6" x14ac:dyDescent="0.3">
      <c r="A19" t="s">
        <v>57</v>
      </c>
      <c r="B19" t="s">
        <v>58</v>
      </c>
      <c r="C19">
        <v>17329</v>
      </c>
      <c r="D19">
        <v>2.5795650000000001</v>
      </c>
      <c r="E19">
        <v>1.4746114857122801E-4</v>
      </c>
      <c r="F19" t="s">
        <v>59</v>
      </c>
    </row>
    <row r="20" spans="1:6" x14ac:dyDescent="0.3">
      <c r="A20" t="s">
        <v>60</v>
      </c>
      <c r="B20" t="s">
        <v>61</v>
      </c>
      <c r="C20">
        <v>15957</v>
      </c>
      <c r="D20">
        <v>2.56728333333333</v>
      </c>
      <c r="E20" s="2">
        <v>1.5363127448019001E-5</v>
      </c>
      <c r="F20" t="s">
        <v>62</v>
      </c>
    </row>
    <row r="21" spans="1:6" x14ac:dyDescent="0.3">
      <c r="A21" t="s">
        <v>63</v>
      </c>
      <c r="B21" t="s">
        <v>64</v>
      </c>
      <c r="C21">
        <v>27053</v>
      </c>
      <c r="D21">
        <v>2.44380833333333</v>
      </c>
      <c r="E21" s="2">
        <v>1.5363127448019001E-5</v>
      </c>
      <c r="F21" t="s">
        <v>65</v>
      </c>
    </row>
    <row r="22" spans="1:6" x14ac:dyDescent="0.3">
      <c r="A22" t="s">
        <v>66</v>
      </c>
      <c r="B22" t="s">
        <v>67</v>
      </c>
      <c r="C22">
        <v>15945</v>
      </c>
      <c r="D22">
        <v>2.4313616666666702</v>
      </c>
      <c r="E22" s="2">
        <v>7.5372050692496095E-5</v>
      </c>
      <c r="F22" t="s">
        <v>68</v>
      </c>
    </row>
    <row r="23" spans="1:6" x14ac:dyDescent="0.3">
      <c r="A23" t="s">
        <v>69</v>
      </c>
      <c r="B23" t="s">
        <v>70</v>
      </c>
      <c r="C23">
        <v>14468</v>
      </c>
      <c r="D23">
        <v>2.3981349999999999</v>
      </c>
      <c r="E23" s="2">
        <v>6.0734934770262902E-5</v>
      </c>
      <c r="F23" t="s">
        <v>71</v>
      </c>
    </row>
    <row r="24" spans="1:6" x14ac:dyDescent="0.3">
      <c r="A24" t="s">
        <v>72</v>
      </c>
      <c r="B24" t="s">
        <v>73</v>
      </c>
      <c r="C24">
        <v>13058</v>
      </c>
      <c r="D24">
        <v>2.3746433333333301</v>
      </c>
      <c r="E24" s="2">
        <v>1.5363127448019001E-5</v>
      </c>
      <c r="F24" t="s">
        <v>74</v>
      </c>
    </row>
    <row r="25" spans="1:6" x14ac:dyDescent="0.3">
      <c r="A25" t="s">
        <v>75</v>
      </c>
      <c r="B25" t="s">
        <v>76</v>
      </c>
      <c r="C25">
        <v>17768</v>
      </c>
      <c r="D25">
        <v>2.3735149999999998</v>
      </c>
      <c r="E25" s="2">
        <v>2.4012647358785301E-5</v>
      </c>
      <c r="F25" t="s">
        <v>77</v>
      </c>
    </row>
    <row r="26" spans="1:6" x14ac:dyDescent="0.3">
      <c r="A26" t="s">
        <v>78</v>
      </c>
      <c r="B26" t="s">
        <v>79</v>
      </c>
      <c r="C26">
        <v>20558</v>
      </c>
      <c r="D26">
        <v>2.3611550000000001</v>
      </c>
      <c r="E26" s="2">
        <v>4.0091110862478797E-5</v>
      </c>
      <c r="F26" t="s">
        <v>80</v>
      </c>
    </row>
    <row r="27" spans="1:6" x14ac:dyDescent="0.3">
      <c r="A27" t="s">
        <v>81</v>
      </c>
      <c r="B27" t="s">
        <v>82</v>
      </c>
      <c r="C27">
        <v>16913</v>
      </c>
      <c r="D27">
        <v>2.35460166666667</v>
      </c>
      <c r="E27" s="2">
        <v>2.4012647358785301E-5</v>
      </c>
      <c r="F27" t="s">
        <v>83</v>
      </c>
    </row>
    <row r="28" spans="1:6" x14ac:dyDescent="0.3">
      <c r="A28" t="s">
        <v>84</v>
      </c>
      <c r="B28" t="s">
        <v>85</v>
      </c>
      <c r="C28">
        <v>21923</v>
      </c>
      <c r="D28">
        <v>2.3443533333333302</v>
      </c>
      <c r="E28">
        <v>4.7115089938617099E-4</v>
      </c>
      <c r="F28" t="s">
        <v>86</v>
      </c>
    </row>
    <row r="29" spans="1:6" x14ac:dyDescent="0.3">
      <c r="A29" t="s">
        <v>87</v>
      </c>
      <c r="B29" t="s">
        <v>88</v>
      </c>
      <c r="C29">
        <v>21857</v>
      </c>
      <c r="D29">
        <v>2.2318799999999999</v>
      </c>
      <c r="E29">
        <v>8.6583854585120697E-4</v>
      </c>
      <c r="F29" t="s">
        <v>89</v>
      </c>
    </row>
    <row r="30" spans="1:6" x14ac:dyDescent="0.3">
      <c r="A30" t="s">
        <v>90</v>
      </c>
      <c r="B30" t="s">
        <v>91</v>
      </c>
      <c r="C30">
        <v>99899</v>
      </c>
      <c r="D30">
        <v>2.2038950000000002</v>
      </c>
      <c r="E30" s="2">
        <v>1.5363127448019001E-5</v>
      </c>
      <c r="F30" t="s">
        <v>92</v>
      </c>
    </row>
    <row r="31" spans="1:6" x14ac:dyDescent="0.3">
      <c r="A31" t="s">
        <v>93</v>
      </c>
      <c r="B31" t="s">
        <v>94</v>
      </c>
      <c r="C31">
        <v>14939</v>
      </c>
      <c r="D31">
        <v>2.1877266666666699</v>
      </c>
      <c r="E31">
        <v>1.3147163556161701E-4</v>
      </c>
      <c r="F31" t="s">
        <v>95</v>
      </c>
    </row>
    <row r="32" spans="1:6" x14ac:dyDescent="0.3">
      <c r="A32" t="s">
        <v>96</v>
      </c>
      <c r="B32" t="s">
        <v>97</v>
      </c>
      <c r="C32">
        <v>17476</v>
      </c>
      <c r="D32">
        <v>2.1714166666666701</v>
      </c>
      <c r="E32" s="2">
        <v>6.1351968772723205E-5</v>
      </c>
      <c r="F32" t="s">
        <v>98</v>
      </c>
    </row>
    <row r="33" spans="1:6" x14ac:dyDescent="0.3">
      <c r="A33" t="s">
        <v>99</v>
      </c>
      <c r="B33" t="s">
        <v>100</v>
      </c>
      <c r="C33">
        <v>73149</v>
      </c>
      <c r="D33">
        <v>2.16191166666666</v>
      </c>
      <c r="E33" s="2">
        <v>7.58572524213686E-5</v>
      </c>
      <c r="F33" t="s">
        <v>101</v>
      </c>
    </row>
    <row r="34" spans="1:6" x14ac:dyDescent="0.3">
      <c r="A34" t="s">
        <v>102</v>
      </c>
      <c r="B34" t="s">
        <v>103</v>
      </c>
      <c r="C34">
        <v>19264</v>
      </c>
      <c r="D34">
        <v>2.1516099999999998</v>
      </c>
      <c r="E34" s="2">
        <v>1.5363127448019001E-5</v>
      </c>
      <c r="F34" t="s">
        <v>104</v>
      </c>
    </row>
    <row r="35" spans="1:6" x14ac:dyDescent="0.3">
      <c r="A35" t="s">
        <v>105</v>
      </c>
      <c r="B35" t="s">
        <v>106</v>
      </c>
      <c r="C35">
        <v>109225</v>
      </c>
      <c r="D35">
        <v>2.15082166666667</v>
      </c>
      <c r="E35" s="2">
        <v>6.7633009670253497E-5</v>
      </c>
      <c r="F35" t="s">
        <v>107</v>
      </c>
    </row>
    <row r="36" spans="1:6" x14ac:dyDescent="0.3">
      <c r="A36" t="s">
        <v>108</v>
      </c>
      <c r="B36" t="s">
        <v>109</v>
      </c>
      <c r="C36">
        <v>219131</v>
      </c>
      <c r="D36">
        <v>2.1488583333333402</v>
      </c>
      <c r="E36" s="2">
        <v>7.3462511269921699E-5</v>
      </c>
      <c r="F36" t="s">
        <v>110</v>
      </c>
    </row>
    <row r="37" spans="1:6" x14ac:dyDescent="0.3">
      <c r="A37" t="s">
        <v>111</v>
      </c>
      <c r="B37" t="s">
        <v>112</v>
      </c>
      <c r="C37">
        <v>17084</v>
      </c>
      <c r="D37">
        <v>2.1117733333333302</v>
      </c>
      <c r="E37" s="2">
        <v>2.14758190458235E-5</v>
      </c>
      <c r="F37" t="s">
        <v>113</v>
      </c>
    </row>
    <row r="38" spans="1:6" x14ac:dyDescent="0.3">
      <c r="A38" t="s">
        <v>114</v>
      </c>
      <c r="B38" t="s">
        <v>115</v>
      </c>
      <c r="C38">
        <v>13040</v>
      </c>
      <c r="D38">
        <v>2.0821900000000002</v>
      </c>
      <c r="E38" s="2">
        <v>1.7131630303713502E-5</v>
      </c>
      <c r="F38" t="s">
        <v>116</v>
      </c>
    </row>
    <row r="39" spans="1:6" x14ac:dyDescent="0.3">
      <c r="A39" t="s">
        <v>117</v>
      </c>
      <c r="B39" t="s">
        <v>118</v>
      </c>
      <c r="C39">
        <v>58203</v>
      </c>
      <c r="D39">
        <v>2.08169166666667</v>
      </c>
      <c r="E39">
        <v>1.19433432460235E-4</v>
      </c>
      <c r="F39" t="s">
        <v>119</v>
      </c>
    </row>
    <row r="40" spans="1:6" x14ac:dyDescent="0.3">
      <c r="A40" t="s">
        <v>120</v>
      </c>
      <c r="B40" t="s">
        <v>121</v>
      </c>
      <c r="C40">
        <v>269799</v>
      </c>
      <c r="D40">
        <v>2.0722516666666699</v>
      </c>
      <c r="E40" s="2">
        <v>9.2531616180782598E-5</v>
      </c>
      <c r="F40" t="s">
        <v>122</v>
      </c>
    </row>
    <row r="41" spans="1:6" x14ac:dyDescent="0.3">
      <c r="A41" t="s">
        <v>123</v>
      </c>
      <c r="B41" t="s">
        <v>124</v>
      </c>
      <c r="C41">
        <v>60533</v>
      </c>
      <c r="D41">
        <v>2.046875</v>
      </c>
      <c r="E41">
        <v>2.7904666984417001E-4</v>
      </c>
      <c r="F41" t="s">
        <v>125</v>
      </c>
    </row>
    <row r="42" spans="1:6" x14ac:dyDescent="0.3">
      <c r="A42" t="s">
        <v>126</v>
      </c>
      <c r="B42" t="s">
        <v>127</v>
      </c>
      <c r="C42">
        <v>14938</v>
      </c>
      <c r="D42">
        <v>2.02009666666667</v>
      </c>
      <c r="E42" s="2">
        <v>7.58572524213686E-5</v>
      </c>
      <c r="F42" t="s">
        <v>128</v>
      </c>
    </row>
    <row r="43" spans="1:6" x14ac:dyDescent="0.3">
      <c r="A43" t="s">
        <v>129</v>
      </c>
      <c r="B43" t="s">
        <v>130</v>
      </c>
      <c r="C43">
        <v>20555</v>
      </c>
      <c r="D43">
        <v>1.9893733333333301</v>
      </c>
      <c r="E43">
        <v>1.9521693827928601E-4</v>
      </c>
      <c r="F43" t="s">
        <v>131</v>
      </c>
    </row>
    <row r="44" spans="1:6" x14ac:dyDescent="0.3">
      <c r="A44" t="s">
        <v>132</v>
      </c>
      <c r="B44" t="s">
        <v>133</v>
      </c>
      <c r="C44">
        <v>20302</v>
      </c>
      <c r="D44">
        <v>1.9853133333333299</v>
      </c>
      <c r="E44" s="2">
        <v>6.0734934770262902E-5</v>
      </c>
      <c r="F44" t="s">
        <v>134</v>
      </c>
    </row>
    <row r="45" spans="1:6" x14ac:dyDescent="0.3">
      <c r="A45" t="s">
        <v>135</v>
      </c>
      <c r="B45" t="s">
        <v>136</v>
      </c>
      <c r="C45">
        <v>13733</v>
      </c>
      <c r="D45">
        <v>1.96604</v>
      </c>
      <c r="E45" s="2">
        <v>3.2783895271112698E-5</v>
      </c>
      <c r="F45" t="s">
        <v>137</v>
      </c>
    </row>
    <row r="46" spans="1:6" x14ac:dyDescent="0.3">
      <c r="A46" t="s">
        <v>138</v>
      </c>
      <c r="B46" t="s">
        <v>139</v>
      </c>
      <c r="C46">
        <v>667370</v>
      </c>
      <c r="D46">
        <v>1.96369666666667</v>
      </c>
      <c r="E46">
        <v>2.5583344753569602E-4</v>
      </c>
      <c r="F46" t="s">
        <v>140</v>
      </c>
    </row>
    <row r="47" spans="1:6" x14ac:dyDescent="0.3">
      <c r="A47" t="s">
        <v>141</v>
      </c>
      <c r="B47" t="s">
        <v>142</v>
      </c>
      <c r="C47">
        <v>72310</v>
      </c>
      <c r="D47">
        <v>1.95606833333333</v>
      </c>
      <c r="E47">
        <v>2.29643516632834E-4</v>
      </c>
      <c r="F47" t="s">
        <v>143</v>
      </c>
    </row>
    <row r="48" spans="1:6" x14ac:dyDescent="0.3">
      <c r="A48" t="s">
        <v>144</v>
      </c>
      <c r="B48" t="s">
        <v>145</v>
      </c>
      <c r="C48">
        <v>83408</v>
      </c>
      <c r="D48">
        <v>1.9536116666666701</v>
      </c>
      <c r="E48" s="2">
        <v>7.58572524213686E-5</v>
      </c>
      <c r="F48" t="s">
        <v>146</v>
      </c>
    </row>
    <row r="49" spans="1:6" x14ac:dyDescent="0.3">
      <c r="A49" t="s">
        <v>147</v>
      </c>
      <c r="B49" t="s">
        <v>148</v>
      </c>
      <c r="C49">
        <v>76074</v>
      </c>
      <c r="D49">
        <v>1.95064333333333</v>
      </c>
      <c r="E49" s="2">
        <v>4.0091110862478797E-5</v>
      </c>
      <c r="F49" t="s">
        <v>149</v>
      </c>
    </row>
    <row r="50" spans="1:6" x14ac:dyDescent="0.3">
      <c r="A50" t="s">
        <v>150</v>
      </c>
      <c r="B50" t="s">
        <v>151</v>
      </c>
      <c r="C50">
        <v>21354</v>
      </c>
      <c r="D50">
        <v>1.9418933333333299</v>
      </c>
      <c r="E50" s="2">
        <v>5.0591462756439902E-5</v>
      </c>
      <c r="F50" t="s">
        <v>152</v>
      </c>
    </row>
    <row r="51" spans="1:6" x14ac:dyDescent="0.3">
      <c r="A51" t="s">
        <v>153</v>
      </c>
      <c r="B51" t="s">
        <v>154</v>
      </c>
      <c r="C51">
        <v>15958</v>
      </c>
      <c r="D51">
        <v>1.9049849999999999</v>
      </c>
      <c r="E51">
        <v>1.4559775085594699E-4</v>
      </c>
      <c r="F51" t="s">
        <v>155</v>
      </c>
    </row>
    <row r="52" spans="1:6" x14ac:dyDescent="0.3">
      <c r="A52" t="s">
        <v>156</v>
      </c>
      <c r="B52" t="s">
        <v>157</v>
      </c>
      <c r="C52">
        <v>620913</v>
      </c>
      <c r="D52">
        <v>1.898865</v>
      </c>
      <c r="E52">
        <v>3.9149532417994898E-3</v>
      </c>
      <c r="F52" t="s">
        <v>158</v>
      </c>
    </row>
    <row r="53" spans="1:6" x14ac:dyDescent="0.3">
      <c r="A53" t="s">
        <v>159</v>
      </c>
      <c r="B53" t="s">
        <v>160</v>
      </c>
      <c r="C53">
        <v>15015</v>
      </c>
      <c r="D53">
        <v>1.8854550000000001</v>
      </c>
      <c r="E53" s="2">
        <v>8.3112455438119103E-5</v>
      </c>
      <c r="F53" t="s">
        <v>161</v>
      </c>
    </row>
    <row r="54" spans="1:6" x14ac:dyDescent="0.3">
      <c r="A54" t="s">
        <v>162</v>
      </c>
      <c r="B54" t="s">
        <v>163</v>
      </c>
      <c r="C54">
        <v>104759</v>
      </c>
      <c r="D54">
        <v>1.88026</v>
      </c>
      <c r="E54" s="2">
        <v>3.0960082815974701E-5</v>
      </c>
      <c r="F54" t="s">
        <v>164</v>
      </c>
    </row>
    <row r="55" spans="1:6" x14ac:dyDescent="0.3">
      <c r="A55" t="s">
        <v>165</v>
      </c>
      <c r="B55" t="s">
        <v>166</v>
      </c>
      <c r="C55">
        <v>16414</v>
      </c>
      <c r="D55">
        <v>1.87351166666667</v>
      </c>
      <c r="E55" s="2">
        <v>7.3462511269921699E-5</v>
      </c>
      <c r="F55" t="s">
        <v>167</v>
      </c>
    </row>
    <row r="56" spans="1:6" x14ac:dyDescent="0.3">
      <c r="A56" t="s">
        <v>168</v>
      </c>
      <c r="B56" t="s">
        <v>169</v>
      </c>
      <c r="C56">
        <v>17472</v>
      </c>
      <c r="D56">
        <v>1.8478600000000001</v>
      </c>
      <c r="E56">
        <v>1.11052462707887E-4</v>
      </c>
      <c r="F56" t="s">
        <v>170</v>
      </c>
    </row>
    <row r="57" spans="1:6" x14ac:dyDescent="0.3">
      <c r="A57" t="s">
        <v>171</v>
      </c>
      <c r="B57" t="s">
        <v>172</v>
      </c>
      <c r="C57">
        <v>14293</v>
      </c>
      <c r="D57">
        <v>1.8459399999999999</v>
      </c>
      <c r="E57" s="2">
        <v>2.14758190458235E-5</v>
      </c>
      <c r="F57" t="s">
        <v>173</v>
      </c>
    </row>
    <row r="58" spans="1:6" x14ac:dyDescent="0.3">
      <c r="A58" t="s">
        <v>174</v>
      </c>
      <c r="B58" t="s">
        <v>175</v>
      </c>
      <c r="C58">
        <v>14961</v>
      </c>
      <c r="D58">
        <v>1.84065833333333</v>
      </c>
      <c r="E58" s="2">
        <v>5.8754073149581898E-5</v>
      </c>
      <c r="F58" t="s">
        <v>176</v>
      </c>
    </row>
    <row r="59" spans="1:6" x14ac:dyDescent="0.3">
      <c r="A59" t="s">
        <v>177</v>
      </c>
      <c r="B59" t="s">
        <v>178</v>
      </c>
      <c r="C59">
        <v>12508</v>
      </c>
      <c r="D59">
        <v>1.8378316666666701</v>
      </c>
      <c r="E59" s="2">
        <v>6.1351968772723205E-5</v>
      </c>
      <c r="F59" t="s">
        <v>179</v>
      </c>
    </row>
    <row r="60" spans="1:6" x14ac:dyDescent="0.3">
      <c r="A60" t="s">
        <v>180</v>
      </c>
      <c r="B60" t="s">
        <v>181</v>
      </c>
      <c r="C60">
        <v>12721</v>
      </c>
      <c r="D60">
        <v>1.830865</v>
      </c>
      <c r="E60" s="2">
        <v>1.5363127448019001E-5</v>
      </c>
      <c r="F60" t="s">
        <v>182</v>
      </c>
    </row>
    <row r="61" spans="1:6" x14ac:dyDescent="0.3">
      <c r="A61" t="s">
        <v>183</v>
      </c>
      <c r="B61" t="s">
        <v>184</v>
      </c>
      <c r="C61">
        <v>60361</v>
      </c>
      <c r="D61">
        <v>1.81250333333333</v>
      </c>
      <c r="E61">
        <v>3.5017367975063302E-4</v>
      </c>
      <c r="F61" t="s">
        <v>185</v>
      </c>
    </row>
    <row r="62" spans="1:6" x14ac:dyDescent="0.3">
      <c r="A62" t="s">
        <v>186</v>
      </c>
      <c r="B62" t="s">
        <v>187</v>
      </c>
      <c r="C62">
        <v>17079</v>
      </c>
      <c r="D62">
        <v>1.80002333333333</v>
      </c>
      <c r="E62" s="2">
        <v>5.8754073149581898E-5</v>
      </c>
      <c r="F62" t="s">
        <v>188</v>
      </c>
    </row>
    <row r="63" spans="1:6" x14ac:dyDescent="0.3">
      <c r="A63" t="s">
        <v>189</v>
      </c>
      <c r="B63" t="s">
        <v>190</v>
      </c>
      <c r="C63">
        <v>16409</v>
      </c>
      <c r="D63">
        <v>1.7979766666666701</v>
      </c>
      <c r="E63">
        <v>1.4663919494967601E-4</v>
      </c>
      <c r="F63" t="s">
        <v>191</v>
      </c>
    </row>
    <row r="64" spans="1:6" x14ac:dyDescent="0.3">
      <c r="A64" t="s">
        <v>192</v>
      </c>
      <c r="B64" t="s">
        <v>193</v>
      </c>
      <c r="C64">
        <v>11629</v>
      </c>
      <c r="D64">
        <v>1.7900466666666699</v>
      </c>
      <c r="E64">
        <v>1.7457016837111201E-4</v>
      </c>
      <c r="F64" t="s">
        <v>194</v>
      </c>
    </row>
    <row r="65" spans="1:6" x14ac:dyDescent="0.3">
      <c r="A65" t="s">
        <v>195</v>
      </c>
      <c r="B65" t="s">
        <v>196</v>
      </c>
      <c r="C65">
        <v>20210</v>
      </c>
      <c r="D65">
        <v>1.78979166666667</v>
      </c>
      <c r="E65">
        <v>9.7578915677561905E-3</v>
      </c>
      <c r="F65" t="s">
        <v>197</v>
      </c>
    </row>
    <row r="66" spans="1:6" x14ac:dyDescent="0.3">
      <c r="A66" t="s">
        <v>198</v>
      </c>
      <c r="B66" t="s">
        <v>199</v>
      </c>
      <c r="C66">
        <v>13198</v>
      </c>
      <c r="D66">
        <v>1.77657333333334</v>
      </c>
      <c r="E66" s="2">
        <v>2.14758190458235E-5</v>
      </c>
      <c r="F66" t="s">
        <v>200</v>
      </c>
    </row>
    <row r="67" spans="1:6" x14ac:dyDescent="0.3">
      <c r="A67" t="s">
        <v>201</v>
      </c>
      <c r="B67" t="s">
        <v>202</v>
      </c>
      <c r="C67">
        <v>14744</v>
      </c>
      <c r="D67">
        <v>1.7728983333333299</v>
      </c>
      <c r="E67">
        <v>1.4399828796817299E-4</v>
      </c>
      <c r="F67" t="s">
        <v>203</v>
      </c>
    </row>
    <row r="68" spans="1:6" x14ac:dyDescent="0.3">
      <c r="A68" t="s">
        <v>204</v>
      </c>
      <c r="B68" t="s">
        <v>205</v>
      </c>
      <c r="C68" t="s">
        <v>206</v>
      </c>
      <c r="D68">
        <v>1.74224</v>
      </c>
      <c r="E68" s="2">
        <v>1.5363127448019001E-5</v>
      </c>
      <c r="F68" t="s">
        <v>207</v>
      </c>
    </row>
    <row r="69" spans="1:6" x14ac:dyDescent="0.3">
      <c r="A69" t="s">
        <v>208</v>
      </c>
      <c r="B69" t="s">
        <v>209</v>
      </c>
      <c r="C69">
        <v>14960</v>
      </c>
      <c r="D69">
        <v>1.7382150000000001</v>
      </c>
      <c r="E69" s="2">
        <v>2.2759662894391601E-5</v>
      </c>
      <c r="F69" t="s">
        <v>210</v>
      </c>
    </row>
    <row r="70" spans="1:6" x14ac:dyDescent="0.3">
      <c r="A70" t="s">
        <v>211</v>
      </c>
      <c r="B70" t="s">
        <v>212</v>
      </c>
      <c r="C70">
        <v>24110</v>
      </c>
      <c r="D70">
        <v>1.7341866666666701</v>
      </c>
      <c r="E70" s="2">
        <v>1.5363127448019001E-5</v>
      </c>
      <c r="F70" t="s">
        <v>213</v>
      </c>
    </row>
    <row r="71" spans="1:6" x14ac:dyDescent="0.3">
      <c r="A71" t="s">
        <v>214</v>
      </c>
      <c r="B71" t="s">
        <v>215</v>
      </c>
      <c r="C71">
        <v>16912</v>
      </c>
      <c r="D71">
        <v>1.7261133333333301</v>
      </c>
      <c r="E71">
        <v>1.03823525604356E-4</v>
      </c>
      <c r="F71" t="s">
        <v>216</v>
      </c>
    </row>
    <row r="72" spans="1:6" x14ac:dyDescent="0.3">
      <c r="A72" t="s">
        <v>217</v>
      </c>
      <c r="B72" t="s">
        <v>218</v>
      </c>
      <c r="C72">
        <v>83490</v>
      </c>
      <c r="D72">
        <v>1.72437833333333</v>
      </c>
      <c r="E72" s="2">
        <v>3.2783895271112698E-5</v>
      </c>
      <c r="F72" t="s">
        <v>219</v>
      </c>
    </row>
    <row r="73" spans="1:6" x14ac:dyDescent="0.3">
      <c r="A73" t="s">
        <v>220</v>
      </c>
      <c r="B73" t="s">
        <v>221</v>
      </c>
      <c r="C73">
        <v>15016</v>
      </c>
      <c r="D73">
        <v>1.72407666666667</v>
      </c>
      <c r="E73" s="2">
        <v>1.45789689989812E-5</v>
      </c>
      <c r="F73" t="s">
        <v>222</v>
      </c>
    </row>
    <row r="74" spans="1:6" x14ac:dyDescent="0.3">
      <c r="A74" t="s">
        <v>223</v>
      </c>
      <c r="B74" t="s">
        <v>224</v>
      </c>
      <c r="C74">
        <v>22324</v>
      </c>
      <c r="D74">
        <v>1.7215516666666699</v>
      </c>
      <c r="E74">
        <v>2.6581406814870398E-4</v>
      </c>
      <c r="F74" t="s">
        <v>225</v>
      </c>
    </row>
    <row r="75" spans="1:6" x14ac:dyDescent="0.3">
      <c r="A75" t="s">
        <v>226</v>
      </c>
      <c r="B75" t="s">
        <v>227</v>
      </c>
      <c r="C75">
        <v>353346</v>
      </c>
      <c r="D75">
        <v>1.7067600000000001</v>
      </c>
      <c r="E75">
        <v>3.4913193861172498E-3</v>
      </c>
      <c r="F75" t="s">
        <v>228</v>
      </c>
    </row>
    <row r="76" spans="1:6" x14ac:dyDescent="0.3">
      <c r="A76" t="s">
        <v>229</v>
      </c>
      <c r="B76" t="s">
        <v>230</v>
      </c>
      <c r="C76">
        <v>52855</v>
      </c>
      <c r="D76">
        <v>1.70620833333333</v>
      </c>
      <c r="E76">
        <v>6.6977521723323395E-4</v>
      </c>
      <c r="F76" t="s">
        <v>231</v>
      </c>
    </row>
    <row r="77" spans="1:6" x14ac:dyDescent="0.3">
      <c r="A77" t="s">
        <v>232</v>
      </c>
      <c r="B77" t="s">
        <v>233</v>
      </c>
      <c r="C77">
        <v>11810</v>
      </c>
      <c r="D77">
        <v>1.6891483333333299</v>
      </c>
      <c r="E77">
        <v>2.3503033449566099E-4</v>
      </c>
      <c r="F77" t="s">
        <v>234</v>
      </c>
    </row>
    <row r="78" spans="1:6" x14ac:dyDescent="0.3">
      <c r="A78" t="s">
        <v>235</v>
      </c>
      <c r="B78" t="s">
        <v>236</v>
      </c>
      <c r="C78">
        <v>14969</v>
      </c>
      <c r="D78">
        <v>1.6625683333333401</v>
      </c>
      <c r="E78" s="2">
        <v>4.1471238778723502E-5</v>
      </c>
      <c r="F78" t="s">
        <v>237</v>
      </c>
    </row>
    <row r="79" spans="1:6" x14ac:dyDescent="0.3">
      <c r="A79" t="s">
        <v>238</v>
      </c>
      <c r="B79" t="s">
        <v>239</v>
      </c>
      <c r="C79">
        <v>14127</v>
      </c>
      <c r="D79">
        <v>1.65418333333333</v>
      </c>
      <c r="E79">
        <v>1.4399828796817299E-4</v>
      </c>
      <c r="F79" t="s">
        <v>240</v>
      </c>
    </row>
    <row r="80" spans="1:6" x14ac:dyDescent="0.3">
      <c r="A80" t="s">
        <v>241</v>
      </c>
      <c r="B80" t="s">
        <v>242</v>
      </c>
      <c r="C80">
        <v>12267</v>
      </c>
      <c r="D80">
        <v>1.6512216666666599</v>
      </c>
      <c r="E80" s="2">
        <v>9.4096177045709895E-5</v>
      </c>
      <c r="F80" t="s">
        <v>243</v>
      </c>
    </row>
    <row r="81" spans="1:6" x14ac:dyDescent="0.3">
      <c r="A81" t="s">
        <v>244</v>
      </c>
      <c r="B81" t="s">
        <v>245</v>
      </c>
      <c r="C81">
        <v>19171</v>
      </c>
      <c r="D81">
        <v>1.6397683333333399</v>
      </c>
      <c r="E81" s="2">
        <v>6.5456405869552395E-5</v>
      </c>
      <c r="F81" t="s">
        <v>246</v>
      </c>
    </row>
    <row r="82" spans="1:6" x14ac:dyDescent="0.3">
      <c r="A82" t="s">
        <v>247</v>
      </c>
      <c r="B82" t="s">
        <v>248</v>
      </c>
      <c r="C82">
        <v>16149</v>
      </c>
      <c r="D82">
        <v>1.63873333333333</v>
      </c>
      <c r="E82" s="2">
        <v>3.6987740153529798E-5</v>
      </c>
      <c r="F82" t="s">
        <v>249</v>
      </c>
    </row>
    <row r="83" spans="1:6" x14ac:dyDescent="0.3">
      <c r="A83" t="s">
        <v>250</v>
      </c>
      <c r="B83" t="s">
        <v>251</v>
      </c>
      <c r="C83">
        <v>19039</v>
      </c>
      <c r="D83">
        <v>1.63682166666666</v>
      </c>
      <c r="E83" s="2">
        <v>1.5363127448019001E-5</v>
      </c>
      <c r="F83" t="s">
        <v>252</v>
      </c>
    </row>
    <row r="84" spans="1:6" x14ac:dyDescent="0.3">
      <c r="A84" t="s">
        <v>253</v>
      </c>
      <c r="B84" t="s">
        <v>254</v>
      </c>
      <c r="C84">
        <v>15061</v>
      </c>
      <c r="D84">
        <v>1.6317349999999999</v>
      </c>
      <c r="E84">
        <v>3.0104160078080899E-4</v>
      </c>
      <c r="F84" t="s">
        <v>255</v>
      </c>
    </row>
    <row r="85" spans="1:6" x14ac:dyDescent="0.3">
      <c r="A85" t="s">
        <v>256</v>
      </c>
      <c r="B85" t="s">
        <v>257</v>
      </c>
      <c r="C85">
        <v>68774</v>
      </c>
      <c r="D85">
        <v>1.625515</v>
      </c>
      <c r="E85" s="2">
        <v>9.4096177045709895E-5</v>
      </c>
      <c r="F85" t="s">
        <v>258</v>
      </c>
    </row>
    <row r="86" spans="1:6" x14ac:dyDescent="0.3">
      <c r="A86" t="s">
        <v>259</v>
      </c>
      <c r="B86" t="s">
        <v>260</v>
      </c>
      <c r="C86">
        <v>241633</v>
      </c>
      <c r="D86">
        <v>1.6238233333333301</v>
      </c>
      <c r="E86">
        <v>2.5583344753569602E-4</v>
      </c>
      <c r="F86" t="s">
        <v>261</v>
      </c>
    </row>
    <row r="87" spans="1:6" x14ac:dyDescent="0.3">
      <c r="A87" t="s">
        <v>262</v>
      </c>
      <c r="B87" t="s">
        <v>263</v>
      </c>
      <c r="C87">
        <v>19354</v>
      </c>
      <c r="D87">
        <v>1.62280333333333</v>
      </c>
      <c r="E87" s="2">
        <v>9.4096177045709895E-5</v>
      </c>
      <c r="F87" t="s">
        <v>264</v>
      </c>
    </row>
    <row r="88" spans="1:6" x14ac:dyDescent="0.3">
      <c r="A88" t="s">
        <v>265</v>
      </c>
      <c r="B88" t="s">
        <v>266</v>
      </c>
      <c r="C88">
        <v>94176</v>
      </c>
      <c r="D88">
        <v>1.6121466666666699</v>
      </c>
      <c r="E88" s="2">
        <v>9.2531616180782598E-5</v>
      </c>
      <c r="F88" t="s">
        <v>267</v>
      </c>
    </row>
    <row r="89" spans="1:6" x14ac:dyDescent="0.3">
      <c r="A89" t="s">
        <v>268</v>
      </c>
      <c r="B89" t="s">
        <v>269</v>
      </c>
      <c r="C89">
        <v>75345</v>
      </c>
      <c r="D89">
        <v>1.60709833333333</v>
      </c>
      <c r="E89">
        <v>1.6286633243825599E-3</v>
      </c>
      <c r="F89" t="s">
        <v>270</v>
      </c>
    </row>
    <row r="90" spans="1:6" x14ac:dyDescent="0.3">
      <c r="A90" t="s">
        <v>271</v>
      </c>
      <c r="B90" t="s">
        <v>272</v>
      </c>
      <c r="C90">
        <v>18826</v>
      </c>
      <c r="D90">
        <v>1.606535</v>
      </c>
      <c r="E90" s="2">
        <v>6.2120609019152093E-5</v>
      </c>
      <c r="F90" t="s">
        <v>273</v>
      </c>
    </row>
    <row r="91" spans="1:6" x14ac:dyDescent="0.3">
      <c r="A91" t="s">
        <v>274</v>
      </c>
      <c r="B91" t="s">
        <v>275</v>
      </c>
      <c r="C91">
        <v>319446</v>
      </c>
      <c r="D91">
        <v>1.6057999999999999</v>
      </c>
      <c r="E91">
        <v>1.0183886686119801E-3</v>
      </c>
      <c r="F91" t="s">
        <v>276</v>
      </c>
    </row>
    <row r="92" spans="1:6" x14ac:dyDescent="0.3">
      <c r="A92" t="s">
        <v>277</v>
      </c>
      <c r="B92" t="s">
        <v>278</v>
      </c>
      <c r="C92">
        <v>20293</v>
      </c>
      <c r="D92">
        <v>1.584975</v>
      </c>
      <c r="E92">
        <v>2.6360407611755499E-4</v>
      </c>
      <c r="F92" t="s">
        <v>279</v>
      </c>
    </row>
    <row r="93" spans="1:6" x14ac:dyDescent="0.3">
      <c r="A93" t="s">
        <v>280</v>
      </c>
      <c r="B93" t="s">
        <v>281</v>
      </c>
      <c r="C93">
        <v>634650</v>
      </c>
      <c r="D93">
        <v>1.5805833333333299</v>
      </c>
      <c r="E93" s="2">
        <v>5.0591462756439902E-5</v>
      </c>
      <c r="F93" t="s">
        <v>282</v>
      </c>
    </row>
    <row r="94" spans="1:6" x14ac:dyDescent="0.3">
      <c r="A94" t="s">
        <v>283</v>
      </c>
      <c r="B94" t="s">
        <v>284</v>
      </c>
      <c r="C94">
        <v>16818</v>
      </c>
      <c r="D94">
        <v>1.5744516666666599</v>
      </c>
      <c r="E94">
        <v>5.4645744991563597E-4</v>
      </c>
      <c r="F94" t="s">
        <v>285</v>
      </c>
    </row>
    <row r="95" spans="1:6" x14ac:dyDescent="0.3">
      <c r="A95" t="s">
        <v>286</v>
      </c>
      <c r="B95" t="s">
        <v>287</v>
      </c>
      <c r="C95">
        <v>380732</v>
      </c>
      <c r="D95">
        <v>1.5727533333333299</v>
      </c>
      <c r="E95">
        <v>1.9200852080826801E-4</v>
      </c>
      <c r="F95" t="s">
        <v>288</v>
      </c>
    </row>
    <row r="96" spans="1:6" x14ac:dyDescent="0.3">
      <c r="A96" t="s">
        <v>289</v>
      </c>
      <c r="B96" t="s">
        <v>290</v>
      </c>
      <c r="C96">
        <v>279572</v>
      </c>
      <c r="D96">
        <v>1.57184833333333</v>
      </c>
      <c r="E96">
        <v>3.11226356550248E-3</v>
      </c>
      <c r="F96" t="s">
        <v>291</v>
      </c>
    </row>
    <row r="97" spans="1:6" x14ac:dyDescent="0.3">
      <c r="A97" t="s">
        <v>292</v>
      </c>
      <c r="B97" t="s">
        <v>293</v>
      </c>
      <c r="C97">
        <v>98365</v>
      </c>
      <c r="D97">
        <v>1.5531616666666701</v>
      </c>
      <c r="E97" s="2">
        <v>9.2531616180782598E-5</v>
      </c>
      <c r="F97" t="s">
        <v>294</v>
      </c>
    </row>
    <row r="98" spans="1:6" x14ac:dyDescent="0.3">
      <c r="A98" t="s">
        <v>295</v>
      </c>
      <c r="B98" t="s">
        <v>296</v>
      </c>
      <c r="C98">
        <v>16822</v>
      </c>
      <c r="D98">
        <v>1.54314166666667</v>
      </c>
      <c r="E98">
        <v>1.7457016837111201E-4</v>
      </c>
      <c r="F98" t="s">
        <v>297</v>
      </c>
    </row>
    <row r="99" spans="1:6" x14ac:dyDescent="0.3">
      <c r="A99" t="s">
        <v>298</v>
      </c>
      <c r="B99" t="s">
        <v>299</v>
      </c>
      <c r="C99">
        <v>56792</v>
      </c>
      <c r="D99">
        <v>1.5324483333333301</v>
      </c>
      <c r="E99">
        <v>5.7789662158022896E-4</v>
      </c>
      <c r="F99" t="s">
        <v>300</v>
      </c>
    </row>
    <row r="100" spans="1:6" x14ac:dyDescent="0.3">
      <c r="A100" t="s">
        <v>301</v>
      </c>
      <c r="B100" t="s">
        <v>302</v>
      </c>
      <c r="C100">
        <v>67092</v>
      </c>
      <c r="D100">
        <v>1.5272416666666699</v>
      </c>
      <c r="E100">
        <v>2.08563269763727E-4</v>
      </c>
      <c r="F100" t="s">
        <v>303</v>
      </c>
    </row>
    <row r="101" spans="1:6" x14ac:dyDescent="0.3">
      <c r="A101" t="s">
        <v>304</v>
      </c>
      <c r="B101" t="s">
        <v>305</v>
      </c>
      <c r="C101">
        <v>12523</v>
      </c>
      <c r="D101">
        <v>1.5155816666666699</v>
      </c>
      <c r="E101">
        <v>1.15556396384119E-4</v>
      </c>
      <c r="F101" t="s">
        <v>306</v>
      </c>
    </row>
    <row r="102" spans="1:6" x14ac:dyDescent="0.3">
      <c r="A102" t="s">
        <v>307</v>
      </c>
      <c r="B102" t="s">
        <v>308</v>
      </c>
      <c r="C102">
        <v>20345</v>
      </c>
      <c r="D102">
        <v>1.5111250000000001</v>
      </c>
      <c r="E102">
        <v>1.4663919494967601E-4</v>
      </c>
      <c r="F102" t="s">
        <v>309</v>
      </c>
    </row>
    <row r="103" spans="1:6" x14ac:dyDescent="0.3">
      <c r="A103" t="s">
        <v>310</v>
      </c>
      <c r="B103" t="s">
        <v>311</v>
      </c>
      <c r="C103">
        <v>16792</v>
      </c>
      <c r="D103">
        <v>1.50687333333333</v>
      </c>
      <c r="E103" s="2">
        <v>6.1351968772723205E-5</v>
      </c>
      <c r="F103" t="s">
        <v>312</v>
      </c>
    </row>
    <row r="104" spans="1:6" x14ac:dyDescent="0.3">
      <c r="A104" t="s">
        <v>313</v>
      </c>
      <c r="B104" t="s">
        <v>314</v>
      </c>
      <c r="C104">
        <v>21897</v>
      </c>
      <c r="D104">
        <v>1.5060766666666701</v>
      </c>
      <c r="E104">
        <v>6.6990537920457902E-4</v>
      </c>
      <c r="F104" t="s">
        <v>315</v>
      </c>
    </row>
    <row r="105" spans="1:6" x14ac:dyDescent="0.3">
      <c r="A105" t="s">
        <v>316</v>
      </c>
      <c r="B105" t="s">
        <v>317</v>
      </c>
      <c r="C105">
        <v>72318</v>
      </c>
      <c r="D105">
        <v>1.5051033333333299</v>
      </c>
      <c r="E105">
        <v>1.43101654883456E-4</v>
      </c>
      <c r="F105" t="s">
        <v>318</v>
      </c>
    </row>
    <row r="106" spans="1:6" x14ac:dyDescent="0.3">
      <c r="A106" t="s">
        <v>319</v>
      </c>
      <c r="B106" t="s">
        <v>320</v>
      </c>
      <c r="C106">
        <v>140497</v>
      </c>
      <c r="D106">
        <v>1.49817166666667</v>
      </c>
      <c r="E106">
        <v>2.3503033449566099E-4</v>
      </c>
      <c r="F106" t="s">
        <v>321</v>
      </c>
    </row>
    <row r="107" spans="1:6" x14ac:dyDescent="0.3">
      <c r="A107" t="s">
        <v>322</v>
      </c>
      <c r="B107" t="s">
        <v>323</v>
      </c>
      <c r="C107">
        <v>229900</v>
      </c>
      <c r="D107">
        <v>1.498005</v>
      </c>
      <c r="E107">
        <v>5.4645744991563597E-4</v>
      </c>
      <c r="F107" t="s">
        <v>324</v>
      </c>
    </row>
    <row r="108" spans="1:6" x14ac:dyDescent="0.3">
      <c r="A108" t="s">
        <v>325</v>
      </c>
      <c r="B108" t="s">
        <v>326</v>
      </c>
      <c r="C108">
        <v>230787</v>
      </c>
      <c r="D108">
        <v>1.48695333333333</v>
      </c>
      <c r="E108">
        <v>2.3503033449566099E-4</v>
      </c>
      <c r="F108" t="s">
        <v>327</v>
      </c>
    </row>
    <row r="109" spans="1:6" x14ac:dyDescent="0.3">
      <c r="A109" t="s">
        <v>328</v>
      </c>
      <c r="B109" t="s">
        <v>329</v>
      </c>
      <c r="C109">
        <v>17858</v>
      </c>
      <c r="D109">
        <v>1.4862833333333401</v>
      </c>
      <c r="E109">
        <v>8.33960710676947E-4</v>
      </c>
      <c r="F109" t="s">
        <v>330</v>
      </c>
    </row>
    <row r="110" spans="1:6" x14ac:dyDescent="0.3">
      <c r="A110" t="s">
        <v>331</v>
      </c>
      <c r="B110" t="s">
        <v>332</v>
      </c>
      <c r="C110">
        <v>56193</v>
      </c>
      <c r="D110">
        <v>1.484035</v>
      </c>
      <c r="E110">
        <v>5.1215438186852998E-4</v>
      </c>
      <c r="F110" t="s">
        <v>333</v>
      </c>
    </row>
    <row r="111" spans="1:6" x14ac:dyDescent="0.3">
      <c r="A111" t="s">
        <v>334</v>
      </c>
      <c r="B111" t="s">
        <v>335</v>
      </c>
      <c r="C111">
        <v>105855</v>
      </c>
      <c r="D111">
        <v>1.48318333333334</v>
      </c>
      <c r="E111" s="2">
        <v>9.4096177045709895E-5</v>
      </c>
      <c r="F111" t="s">
        <v>336</v>
      </c>
    </row>
    <row r="112" spans="1:6" x14ac:dyDescent="0.3">
      <c r="A112" t="s">
        <v>337</v>
      </c>
      <c r="B112" t="s">
        <v>338</v>
      </c>
      <c r="C112">
        <v>12268</v>
      </c>
      <c r="D112">
        <v>1.47746166666667</v>
      </c>
      <c r="E112">
        <v>3.4261719850118199E-4</v>
      </c>
      <c r="F112" t="s">
        <v>339</v>
      </c>
    </row>
    <row r="113" spans="1:6" x14ac:dyDescent="0.3">
      <c r="A113" t="s">
        <v>340</v>
      </c>
      <c r="B113" t="s">
        <v>341</v>
      </c>
      <c r="C113">
        <v>18733</v>
      </c>
      <c r="D113">
        <v>1.4705349999999999</v>
      </c>
      <c r="E113">
        <v>8.0354511504802896E-4</v>
      </c>
      <c r="F113" t="s">
        <v>342</v>
      </c>
    </row>
    <row r="114" spans="1:6" x14ac:dyDescent="0.3">
      <c r="A114" t="s">
        <v>343</v>
      </c>
      <c r="B114" t="s">
        <v>344</v>
      </c>
      <c r="C114">
        <v>69774</v>
      </c>
      <c r="D114">
        <v>1.45892666666667</v>
      </c>
      <c r="E114">
        <v>3.4844869432658902E-4</v>
      </c>
      <c r="F114" t="s">
        <v>345</v>
      </c>
    </row>
    <row r="115" spans="1:6" x14ac:dyDescent="0.3">
      <c r="A115" t="s">
        <v>346</v>
      </c>
      <c r="B115" t="s">
        <v>347</v>
      </c>
      <c r="C115">
        <v>16185</v>
      </c>
      <c r="D115">
        <v>1.4550749999999999</v>
      </c>
      <c r="E115">
        <v>5.2559898161074696E-4</v>
      </c>
      <c r="F115" t="s">
        <v>348</v>
      </c>
    </row>
    <row r="116" spans="1:6" x14ac:dyDescent="0.3">
      <c r="A116" t="s">
        <v>349</v>
      </c>
      <c r="B116" t="s">
        <v>350</v>
      </c>
      <c r="C116">
        <v>80901</v>
      </c>
      <c r="D116">
        <v>1.44428666666667</v>
      </c>
      <c r="E116">
        <v>3.5739537749647902E-3</v>
      </c>
      <c r="F116" t="s">
        <v>351</v>
      </c>
    </row>
    <row r="117" spans="1:6" x14ac:dyDescent="0.3">
      <c r="A117" t="s">
        <v>352</v>
      </c>
      <c r="B117" t="s">
        <v>353</v>
      </c>
      <c r="C117">
        <v>76117</v>
      </c>
      <c r="D117">
        <v>1.43394166666667</v>
      </c>
      <c r="E117">
        <v>1.7442636207165799E-4</v>
      </c>
      <c r="F117" t="s">
        <v>354</v>
      </c>
    </row>
    <row r="118" spans="1:6" x14ac:dyDescent="0.3">
      <c r="A118" t="s">
        <v>355</v>
      </c>
      <c r="B118" t="s">
        <v>356</v>
      </c>
      <c r="C118">
        <v>12506</v>
      </c>
      <c r="D118">
        <v>1.4228400000000001</v>
      </c>
      <c r="E118">
        <v>6.6977521723323395E-4</v>
      </c>
      <c r="F118" t="s">
        <v>357</v>
      </c>
    </row>
    <row r="119" spans="1:6" x14ac:dyDescent="0.3">
      <c r="A119" t="s">
        <v>358</v>
      </c>
      <c r="B119" t="s">
        <v>359</v>
      </c>
      <c r="C119">
        <v>17972</v>
      </c>
      <c r="D119">
        <v>1.41604333333333</v>
      </c>
      <c r="E119">
        <v>1.7457016837111201E-4</v>
      </c>
      <c r="F119" t="s">
        <v>360</v>
      </c>
    </row>
    <row r="120" spans="1:6" x14ac:dyDescent="0.3">
      <c r="A120" t="s">
        <v>361</v>
      </c>
      <c r="B120" t="s">
        <v>362</v>
      </c>
      <c r="C120">
        <v>327959</v>
      </c>
      <c r="D120">
        <v>1.40954166666667</v>
      </c>
      <c r="E120">
        <v>1.5986310409779299E-4</v>
      </c>
      <c r="F120" t="s">
        <v>363</v>
      </c>
    </row>
    <row r="121" spans="1:6" x14ac:dyDescent="0.3">
      <c r="A121" t="s">
        <v>364</v>
      </c>
      <c r="B121" t="s">
        <v>365</v>
      </c>
      <c r="C121">
        <v>26388</v>
      </c>
      <c r="D121">
        <v>1.40456166666667</v>
      </c>
      <c r="E121">
        <v>2.5583344753569602E-4</v>
      </c>
      <c r="F121" t="s">
        <v>366</v>
      </c>
    </row>
    <row r="122" spans="1:6" x14ac:dyDescent="0.3">
      <c r="A122" t="s">
        <v>367</v>
      </c>
      <c r="B122" t="s">
        <v>368</v>
      </c>
      <c r="C122">
        <v>15162</v>
      </c>
      <c r="D122">
        <v>1.4038683333333299</v>
      </c>
      <c r="E122">
        <v>3.5958044002973099E-4</v>
      </c>
      <c r="F122" t="s">
        <v>369</v>
      </c>
    </row>
    <row r="123" spans="1:6" x14ac:dyDescent="0.3">
      <c r="A123" t="s">
        <v>370</v>
      </c>
      <c r="B123" t="s">
        <v>371</v>
      </c>
      <c r="C123">
        <v>17916</v>
      </c>
      <c r="D123">
        <v>1.4013583333333299</v>
      </c>
      <c r="E123">
        <v>2.39962749911376E-4</v>
      </c>
      <c r="F123" t="s">
        <v>372</v>
      </c>
    </row>
    <row r="124" spans="1:6" x14ac:dyDescent="0.3">
      <c r="A124" t="s">
        <v>373</v>
      </c>
      <c r="B124" t="s">
        <v>374</v>
      </c>
      <c r="C124">
        <v>246727</v>
      </c>
      <c r="D124">
        <v>1.39802166666667</v>
      </c>
      <c r="E124" s="2">
        <v>9.6215038258178702E-5</v>
      </c>
      <c r="F124" t="s">
        <v>375</v>
      </c>
    </row>
    <row r="125" spans="1:6" x14ac:dyDescent="0.3">
      <c r="A125" t="s">
        <v>376</v>
      </c>
      <c r="B125" t="s">
        <v>377</v>
      </c>
      <c r="C125" t="s">
        <v>206</v>
      </c>
      <c r="D125">
        <v>1.3964683333333301</v>
      </c>
      <c r="E125">
        <v>3.04281161633495E-3</v>
      </c>
      <c r="F125" t="s">
        <v>378</v>
      </c>
    </row>
    <row r="126" spans="1:6" x14ac:dyDescent="0.3">
      <c r="A126" t="s">
        <v>379</v>
      </c>
      <c r="B126" t="s">
        <v>380</v>
      </c>
      <c r="C126">
        <v>22177</v>
      </c>
      <c r="D126">
        <v>1.3964333333333301</v>
      </c>
      <c r="E126">
        <v>2.18255802675838E-4</v>
      </c>
      <c r="F126" t="s">
        <v>381</v>
      </c>
    </row>
    <row r="127" spans="1:6" x14ac:dyDescent="0.3">
      <c r="A127" t="s">
        <v>382</v>
      </c>
      <c r="B127" t="s">
        <v>383</v>
      </c>
      <c r="C127">
        <v>16401</v>
      </c>
      <c r="D127">
        <v>1.3899550000000001</v>
      </c>
      <c r="E127">
        <v>1.3853583708883899E-4</v>
      </c>
      <c r="F127" t="s">
        <v>384</v>
      </c>
    </row>
    <row r="128" spans="1:6" x14ac:dyDescent="0.3">
      <c r="A128" t="s">
        <v>385</v>
      </c>
      <c r="B128" t="s">
        <v>386</v>
      </c>
      <c r="C128">
        <v>73690</v>
      </c>
      <c r="D128">
        <v>1.3805833333333299</v>
      </c>
      <c r="E128">
        <v>2.9619759314165103E-4</v>
      </c>
      <c r="F128" t="s">
        <v>387</v>
      </c>
    </row>
    <row r="129" spans="1:6" x14ac:dyDescent="0.3">
      <c r="A129" t="s">
        <v>388</v>
      </c>
      <c r="B129" t="s">
        <v>389</v>
      </c>
      <c r="C129">
        <v>73656</v>
      </c>
      <c r="D129">
        <v>1.369515</v>
      </c>
      <c r="E129">
        <v>3.1059865149864099E-4</v>
      </c>
      <c r="F129" t="s">
        <v>390</v>
      </c>
    </row>
    <row r="130" spans="1:6" x14ac:dyDescent="0.3">
      <c r="A130" t="s">
        <v>391</v>
      </c>
      <c r="B130" t="s">
        <v>392</v>
      </c>
      <c r="C130">
        <v>16197</v>
      </c>
      <c r="D130">
        <v>1.369235</v>
      </c>
      <c r="E130">
        <v>1.82784198106126E-3</v>
      </c>
      <c r="F130" t="s">
        <v>393</v>
      </c>
    </row>
    <row r="131" spans="1:6" x14ac:dyDescent="0.3">
      <c r="A131" t="s">
        <v>394</v>
      </c>
      <c r="B131" t="s">
        <v>395</v>
      </c>
      <c r="C131">
        <v>12266</v>
      </c>
      <c r="D131">
        <v>1.36768</v>
      </c>
      <c r="E131">
        <v>2.8951702606446801E-4</v>
      </c>
      <c r="F131" t="s">
        <v>396</v>
      </c>
    </row>
    <row r="132" spans="1:6" x14ac:dyDescent="0.3">
      <c r="A132" t="s">
        <v>397</v>
      </c>
      <c r="B132" t="s">
        <v>398</v>
      </c>
      <c r="C132">
        <v>20556</v>
      </c>
      <c r="D132">
        <v>1.3655250000000001</v>
      </c>
      <c r="E132">
        <v>3.5958044002973099E-4</v>
      </c>
      <c r="F132" t="s">
        <v>399</v>
      </c>
    </row>
    <row r="133" spans="1:6" x14ac:dyDescent="0.3">
      <c r="A133" t="s">
        <v>400</v>
      </c>
      <c r="B133" t="s">
        <v>401</v>
      </c>
      <c r="C133">
        <v>26904</v>
      </c>
      <c r="D133">
        <v>1.36229</v>
      </c>
      <c r="E133">
        <v>5.1469343429198105E-4</v>
      </c>
      <c r="F133" t="s">
        <v>402</v>
      </c>
    </row>
    <row r="134" spans="1:6" x14ac:dyDescent="0.3">
      <c r="A134" t="s">
        <v>403</v>
      </c>
      <c r="B134" t="s">
        <v>404</v>
      </c>
      <c r="C134">
        <v>210757</v>
      </c>
      <c r="D134">
        <v>1.355415</v>
      </c>
      <c r="E134">
        <v>6.1087054976674202E-3</v>
      </c>
      <c r="F134" t="s">
        <v>405</v>
      </c>
    </row>
    <row r="135" spans="1:6" x14ac:dyDescent="0.3">
      <c r="A135" t="s">
        <v>406</v>
      </c>
      <c r="B135" t="s">
        <v>407</v>
      </c>
      <c r="C135">
        <v>12481</v>
      </c>
      <c r="D135">
        <v>1.350525</v>
      </c>
      <c r="E135">
        <v>7.94388068950463E-4</v>
      </c>
      <c r="F135" t="s">
        <v>408</v>
      </c>
    </row>
    <row r="136" spans="1:6" x14ac:dyDescent="0.3">
      <c r="A136" t="s">
        <v>409</v>
      </c>
      <c r="B136" t="s">
        <v>410</v>
      </c>
      <c r="C136">
        <v>20491</v>
      </c>
      <c r="D136">
        <v>1.34466666666667</v>
      </c>
      <c r="E136">
        <v>1.5261007051830899E-3</v>
      </c>
      <c r="F136" t="s">
        <v>411</v>
      </c>
    </row>
    <row r="137" spans="1:6" x14ac:dyDescent="0.3">
      <c r="A137" t="s">
        <v>412</v>
      </c>
      <c r="B137" t="s">
        <v>413</v>
      </c>
      <c r="C137">
        <v>219132</v>
      </c>
      <c r="D137">
        <v>1.34222666666667</v>
      </c>
      <c r="E137">
        <v>1.9521693827928601E-4</v>
      </c>
      <c r="F137" t="s">
        <v>414</v>
      </c>
    </row>
    <row r="138" spans="1:6" x14ac:dyDescent="0.3">
      <c r="A138" t="s">
        <v>415</v>
      </c>
      <c r="B138" t="s">
        <v>416</v>
      </c>
      <c r="C138">
        <v>69550</v>
      </c>
      <c r="D138">
        <v>1.3396633333333301</v>
      </c>
      <c r="E138" s="2">
        <v>8.2634479060703604E-5</v>
      </c>
      <c r="F138" t="s">
        <v>417</v>
      </c>
    </row>
    <row r="139" spans="1:6" x14ac:dyDescent="0.3">
      <c r="A139" t="s">
        <v>418</v>
      </c>
      <c r="B139" t="s">
        <v>419</v>
      </c>
      <c r="C139" t="s">
        <v>206</v>
      </c>
      <c r="D139">
        <v>1.3311666666666699</v>
      </c>
      <c r="E139">
        <v>4.8449805906487802E-4</v>
      </c>
      <c r="F139" t="s">
        <v>420</v>
      </c>
    </row>
    <row r="140" spans="1:6" x14ac:dyDescent="0.3">
      <c r="A140" t="s">
        <v>421</v>
      </c>
      <c r="B140" t="s">
        <v>422</v>
      </c>
      <c r="C140">
        <v>18173</v>
      </c>
      <c r="D140">
        <v>1.3274983333333299</v>
      </c>
      <c r="E140">
        <v>5.4645744991563597E-4</v>
      </c>
      <c r="F140" t="s">
        <v>423</v>
      </c>
    </row>
    <row r="141" spans="1:6" x14ac:dyDescent="0.3">
      <c r="A141" t="s">
        <v>424</v>
      </c>
      <c r="B141" t="s">
        <v>425</v>
      </c>
      <c r="C141">
        <v>234311</v>
      </c>
      <c r="D141">
        <v>1.3240133333333299</v>
      </c>
      <c r="E141" s="2">
        <v>6.9348773475064895E-5</v>
      </c>
      <c r="F141" t="s">
        <v>426</v>
      </c>
    </row>
    <row r="142" spans="1:6" x14ac:dyDescent="0.3">
      <c r="A142" t="s">
        <v>427</v>
      </c>
      <c r="B142" t="s">
        <v>428</v>
      </c>
      <c r="C142">
        <v>276950</v>
      </c>
      <c r="D142">
        <v>1.30654166666667</v>
      </c>
      <c r="E142">
        <v>2.3503033449566099E-4</v>
      </c>
      <c r="F142" t="s">
        <v>429</v>
      </c>
    </row>
    <row r="143" spans="1:6" x14ac:dyDescent="0.3">
      <c r="A143" t="s">
        <v>430</v>
      </c>
      <c r="B143" t="s">
        <v>431</v>
      </c>
      <c r="C143">
        <v>16069</v>
      </c>
      <c r="D143">
        <v>1.29776166666667</v>
      </c>
      <c r="E143">
        <v>1.88199787511601E-2</v>
      </c>
      <c r="F143" t="s">
        <v>432</v>
      </c>
    </row>
    <row r="144" spans="1:6" x14ac:dyDescent="0.3">
      <c r="A144" t="s">
        <v>433</v>
      </c>
      <c r="B144" t="s">
        <v>434</v>
      </c>
      <c r="C144">
        <v>54445</v>
      </c>
      <c r="D144">
        <v>1.2900416666666701</v>
      </c>
      <c r="E144">
        <v>1.6146881475205701E-4</v>
      </c>
      <c r="F144" t="s">
        <v>435</v>
      </c>
    </row>
    <row r="145" spans="1:6" x14ac:dyDescent="0.3">
      <c r="A145" t="s">
        <v>436</v>
      </c>
      <c r="B145" t="s">
        <v>437</v>
      </c>
      <c r="C145">
        <v>107321</v>
      </c>
      <c r="D145">
        <v>1.28480333333333</v>
      </c>
      <c r="E145">
        <v>5.2808517813564401E-4</v>
      </c>
      <c r="F145" t="s">
        <v>438</v>
      </c>
    </row>
    <row r="146" spans="1:6" x14ac:dyDescent="0.3">
      <c r="A146" t="s">
        <v>439</v>
      </c>
      <c r="B146" t="s">
        <v>440</v>
      </c>
      <c r="C146">
        <v>76933</v>
      </c>
      <c r="D146">
        <v>1.27968833333334</v>
      </c>
      <c r="E146">
        <v>2.9260191788231901E-4</v>
      </c>
      <c r="F146" t="s">
        <v>441</v>
      </c>
    </row>
    <row r="147" spans="1:6" x14ac:dyDescent="0.3">
      <c r="A147" t="s">
        <v>442</v>
      </c>
      <c r="B147" t="s">
        <v>443</v>
      </c>
      <c r="C147">
        <v>67775</v>
      </c>
      <c r="D147">
        <v>1.2703549999999999</v>
      </c>
      <c r="E147">
        <v>4.6963195264889101E-4</v>
      </c>
      <c r="F147" t="s">
        <v>444</v>
      </c>
    </row>
    <row r="148" spans="1:6" x14ac:dyDescent="0.3">
      <c r="A148" t="s">
        <v>445</v>
      </c>
      <c r="B148" t="s">
        <v>446</v>
      </c>
      <c r="C148">
        <v>16154</v>
      </c>
      <c r="D148">
        <v>1.2697716666666701</v>
      </c>
      <c r="E148">
        <v>1.87980927587764E-4</v>
      </c>
      <c r="F148" t="s">
        <v>447</v>
      </c>
    </row>
    <row r="149" spans="1:6" x14ac:dyDescent="0.3">
      <c r="A149" t="s">
        <v>448</v>
      </c>
      <c r="B149" t="s">
        <v>449</v>
      </c>
      <c r="C149">
        <v>19378</v>
      </c>
      <c r="D149">
        <v>1.2679866666666699</v>
      </c>
      <c r="E149">
        <v>2.83742755465103E-3</v>
      </c>
      <c r="F149" t="s">
        <v>450</v>
      </c>
    </row>
    <row r="150" spans="1:6" x14ac:dyDescent="0.3">
      <c r="A150" t="s">
        <v>451</v>
      </c>
      <c r="B150" t="s">
        <v>452</v>
      </c>
      <c r="C150">
        <v>20343</v>
      </c>
      <c r="D150">
        <v>1.2671049999999999</v>
      </c>
      <c r="E150">
        <v>1.50385594220437E-3</v>
      </c>
      <c r="F150" t="s">
        <v>453</v>
      </c>
    </row>
    <row r="151" spans="1:6" x14ac:dyDescent="0.3">
      <c r="A151" t="s">
        <v>454</v>
      </c>
      <c r="B151" t="s">
        <v>455</v>
      </c>
      <c r="C151">
        <v>66102</v>
      </c>
      <c r="D151">
        <v>1.26142</v>
      </c>
      <c r="E151">
        <v>5.40431674629438E-4</v>
      </c>
      <c r="F151" t="s">
        <v>456</v>
      </c>
    </row>
    <row r="152" spans="1:6" x14ac:dyDescent="0.3">
      <c r="A152" t="s">
        <v>457</v>
      </c>
      <c r="B152" t="s">
        <v>458</v>
      </c>
      <c r="C152">
        <v>14130</v>
      </c>
      <c r="D152">
        <v>1.2611583333333301</v>
      </c>
      <c r="E152">
        <v>5.3568770342347005E-4</v>
      </c>
      <c r="F152" t="s">
        <v>459</v>
      </c>
    </row>
    <row r="153" spans="1:6" x14ac:dyDescent="0.3">
      <c r="A153" t="s">
        <v>460</v>
      </c>
      <c r="B153" t="s">
        <v>461</v>
      </c>
      <c r="C153">
        <v>12514</v>
      </c>
      <c r="D153">
        <v>1.2605633333333299</v>
      </c>
      <c r="E153">
        <v>5.1469343429198105E-4</v>
      </c>
      <c r="F153" t="s">
        <v>462</v>
      </c>
    </row>
    <row r="154" spans="1:6" x14ac:dyDescent="0.3">
      <c r="A154" t="s">
        <v>463</v>
      </c>
      <c r="B154" t="s">
        <v>464</v>
      </c>
      <c r="C154">
        <v>668218</v>
      </c>
      <c r="D154">
        <v>1.25871333333333</v>
      </c>
      <c r="E154">
        <v>1.43101654883456E-4</v>
      </c>
      <c r="F154" t="s">
        <v>465</v>
      </c>
    </row>
    <row r="155" spans="1:6" x14ac:dyDescent="0.3">
      <c r="A155" t="s">
        <v>466</v>
      </c>
      <c r="B155" t="s">
        <v>467</v>
      </c>
      <c r="C155">
        <v>12010</v>
      </c>
      <c r="D155">
        <v>1.2580499999999999</v>
      </c>
      <c r="E155" s="2">
        <v>1.5363127448019001E-5</v>
      </c>
      <c r="F155" t="s">
        <v>468</v>
      </c>
    </row>
    <row r="156" spans="1:6" x14ac:dyDescent="0.3">
      <c r="A156" t="s">
        <v>469</v>
      </c>
      <c r="B156" t="s">
        <v>470</v>
      </c>
      <c r="C156">
        <v>13032</v>
      </c>
      <c r="D156">
        <v>1.2575499999999999</v>
      </c>
      <c r="E156">
        <v>1.4131962039109201E-4</v>
      </c>
      <c r="F156" t="s">
        <v>471</v>
      </c>
    </row>
    <row r="157" spans="1:6" x14ac:dyDescent="0.3">
      <c r="A157" t="s">
        <v>472</v>
      </c>
      <c r="B157" t="s">
        <v>473</v>
      </c>
      <c r="C157">
        <v>12642</v>
      </c>
      <c r="D157">
        <v>1.2549733333333299</v>
      </c>
      <c r="E157">
        <v>1.4817091542500299E-2</v>
      </c>
      <c r="F157" t="s">
        <v>474</v>
      </c>
    </row>
    <row r="158" spans="1:6" x14ac:dyDescent="0.3">
      <c r="A158" t="s">
        <v>475</v>
      </c>
      <c r="B158" t="s">
        <v>476</v>
      </c>
      <c r="C158">
        <v>107272</v>
      </c>
      <c r="D158">
        <v>1.25080666666667</v>
      </c>
      <c r="E158">
        <v>6.6120985423645604E-4</v>
      </c>
      <c r="F158" t="s">
        <v>477</v>
      </c>
    </row>
    <row r="159" spans="1:6" x14ac:dyDescent="0.3">
      <c r="A159" t="s">
        <v>478</v>
      </c>
      <c r="B159" t="s">
        <v>479</v>
      </c>
      <c r="C159">
        <v>227929</v>
      </c>
      <c r="D159">
        <v>1.2499750000000001</v>
      </c>
      <c r="E159">
        <v>2.5331008445903802E-3</v>
      </c>
      <c r="F159" t="s">
        <v>480</v>
      </c>
    </row>
    <row r="160" spans="1:6" x14ac:dyDescent="0.3">
      <c r="A160" t="s">
        <v>481</v>
      </c>
      <c r="B160" t="s">
        <v>482</v>
      </c>
      <c r="C160">
        <v>545030</v>
      </c>
      <c r="D160">
        <v>1.24515</v>
      </c>
      <c r="E160">
        <v>2.3503033449566099E-4</v>
      </c>
      <c r="F160" t="s">
        <v>483</v>
      </c>
    </row>
    <row r="161" spans="1:6" x14ac:dyDescent="0.3">
      <c r="A161" t="s">
        <v>484</v>
      </c>
      <c r="B161" t="s">
        <v>485</v>
      </c>
      <c r="C161">
        <v>15442</v>
      </c>
      <c r="D161">
        <v>1.2444249999999999</v>
      </c>
      <c r="E161">
        <v>1.77315132674892E-3</v>
      </c>
      <c r="F161" t="s">
        <v>486</v>
      </c>
    </row>
    <row r="162" spans="1:6" x14ac:dyDescent="0.3">
      <c r="A162" t="s">
        <v>487</v>
      </c>
      <c r="B162" t="s">
        <v>488</v>
      </c>
      <c r="C162">
        <v>78826</v>
      </c>
      <c r="D162">
        <v>1.2443283333333299</v>
      </c>
      <c r="E162">
        <v>1.3618071513303001E-3</v>
      </c>
      <c r="F162" t="s">
        <v>489</v>
      </c>
    </row>
    <row r="163" spans="1:6" x14ac:dyDescent="0.3">
      <c r="A163" t="s">
        <v>490</v>
      </c>
      <c r="B163" t="s">
        <v>491</v>
      </c>
      <c r="C163">
        <v>56045</v>
      </c>
      <c r="D163">
        <v>1.2396766666666701</v>
      </c>
      <c r="E163">
        <v>1.8493206779292599E-4</v>
      </c>
      <c r="F163" t="s">
        <v>492</v>
      </c>
    </row>
    <row r="164" spans="1:6" x14ac:dyDescent="0.3">
      <c r="A164" t="s">
        <v>493</v>
      </c>
      <c r="B164" t="s">
        <v>494</v>
      </c>
      <c r="C164">
        <v>547253</v>
      </c>
      <c r="D164">
        <v>1.229525</v>
      </c>
      <c r="E164">
        <v>5.9155702026570701E-4</v>
      </c>
      <c r="F164" t="s">
        <v>495</v>
      </c>
    </row>
    <row r="165" spans="1:6" x14ac:dyDescent="0.3">
      <c r="A165" t="s">
        <v>496</v>
      </c>
      <c r="B165" t="s">
        <v>497</v>
      </c>
      <c r="C165">
        <v>381484</v>
      </c>
      <c r="D165">
        <v>1.2187333333333299</v>
      </c>
      <c r="E165">
        <v>2.4574794827277001E-3</v>
      </c>
      <c r="F165" t="s">
        <v>498</v>
      </c>
    </row>
    <row r="166" spans="1:6" x14ac:dyDescent="0.3">
      <c r="A166" t="s">
        <v>499</v>
      </c>
      <c r="B166" t="s">
        <v>500</v>
      </c>
      <c r="C166">
        <v>16948</v>
      </c>
      <c r="D166">
        <v>1.2173099999999999</v>
      </c>
      <c r="E166">
        <v>2.4833060656866E-2</v>
      </c>
      <c r="F166" t="s">
        <v>501</v>
      </c>
    </row>
    <row r="167" spans="1:6" x14ac:dyDescent="0.3">
      <c r="A167" t="s">
        <v>502</v>
      </c>
      <c r="B167" t="s">
        <v>503</v>
      </c>
      <c r="C167">
        <v>56619</v>
      </c>
      <c r="D167">
        <v>1.21726</v>
      </c>
      <c r="E167">
        <v>9.5773936716442194E-3</v>
      </c>
      <c r="F167" t="s">
        <v>504</v>
      </c>
    </row>
    <row r="168" spans="1:6" x14ac:dyDescent="0.3">
      <c r="A168" t="s">
        <v>505</v>
      </c>
      <c r="B168" t="s">
        <v>506</v>
      </c>
      <c r="C168">
        <v>20128</v>
      </c>
      <c r="D168">
        <v>1.2118899999999999</v>
      </c>
      <c r="E168">
        <v>5.5751617991553601E-4</v>
      </c>
      <c r="F168" t="s">
        <v>507</v>
      </c>
    </row>
    <row r="169" spans="1:6" x14ac:dyDescent="0.3">
      <c r="A169" t="s">
        <v>508</v>
      </c>
      <c r="B169" t="s">
        <v>509</v>
      </c>
      <c r="C169">
        <v>12363</v>
      </c>
      <c r="D169">
        <v>1.21077833333333</v>
      </c>
      <c r="E169">
        <v>3.74783198429238E-4</v>
      </c>
      <c r="F169" t="s">
        <v>510</v>
      </c>
    </row>
    <row r="170" spans="1:6" x14ac:dyDescent="0.3">
      <c r="A170" t="s">
        <v>511</v>
      </c>
      <c r="B170" t="s">
        <v>512</v>
      </c>
      <c r="C170">
        <v>15170</v>
      </c>
      <c r="D170">
        <v>1.21027333333333</v>
      </c>
      <c r="E170">
        <v>2.0041318502249901E-4</v>
      </c>
      <c r="F170" t="s">
        <v>513</v>
      </c>
    </row>
    <row r="171" spans="1:6" x14ac:dyDescent="0.3">
      <c r="A171" t="s">
        <v>514</v>
      </c>
      <c r="B171" t="s">
        <v>515</v>
      </c>
      <c r="C171">
        <v>58185</v>
      </c>
      <c r="D171">
        <v>1.2087349999999999</v>
      </c>
      <c r="E171">
        <v>3.9342523376514801E-4</v>
      </c>
      <c r="F171" t="s">
        <v>516</v>
      </c>
    </row>
    <row r="172" spans="1:6" x14ac:dyDescent="0.3">
      <c r="A172" t="s">
        <v>517</v>
      </c>
      <c r="B172" t="s">
        <v>518</v>
      </c>
      <c r="C172">
        <v>18726</v>
      </c>
      <c r="D172">
        <v>1.20061833333333</v>
      </c>
      <c r="E172">
        <v>1.51195663590706E-4</v>
      </c>
      <c r="F172" t="s">
        <v>519</v>
      </c>
    </row>
    <row r="173" spans="1:6" x14ac:dyDescent="0.3">
      <c r="A173" t="s">
        <v>520</v>
      </c>
      <c r="B173" t="s">
        <v>521</v>
      </c>
      <c r="C173">
        <v>100034251</v>
      </c>
      <c r="D173">
        <v>1.19813833333333</v>
      </c>
      <c r="E173">
        <v>5.1419471474626203E-3</v>
      </c>
      <c r="F173" t="s">
        <v>522</v>
      </c>
    </row>
    <row r="174" spans="1:6" x14ac:dyDescent="0.3">
      <c r="A174" t="s">
        <v>523</v>
      </c>
      <c r="B174" t="s">
        <v>524</v>
      </c>
      <c r="C174">
        <v>20288</v>
      </c>
      <c r="D174">
        <v>1.1959166666666601</v>
      </c>
      <c r="E174">
        <v>1.34536932612977E-3</v>
      </c>
      <c r="F174" t="s">
        <v>525</v>
      </c>
    </row>
    <row r="175" spans="1:6" x14ac:dyDescent="0.3">
      <c r="A175" t="s">
        <v>526</v>
      </c>
      <c r="B175" t="s">
        <v>527</v>
      </c>
      <c r="C175">
        <v>170743</v>
      </c>
      <c r="D175">
        <v>1.1956100000000001</v>
      </c>
      <c r="E175">
        <v>4.6816985130799498E-3</v>
      </c>
      <c r="F175" t="s">
        <v>528</v>
      </c>
    </row>
    <row r="176" spans="1:6" x14ac:dyDescent="0.3">
      <c r="A176" t="s">
        <v>529</v>
      </c>
      <c r="B176" t="s">
        <v>530</v>
      </c>
      <c r="C176">
        <v>11433</v>
      </c>
      <c r="D176">
        <v>1.1949116666666699</v>
      </c>
      <c r="E176">
        <v>2.1316682324829198E-3</v>
      </c>
      <c r="F176" t="s">
        <v>531</v>
      </c>
    </row>
    <row r="177" spans="1:6" x14ac:dyDescent="0.3">
      <c r="A177" t="s">
        <v>532</v>
      </c>
      <c r="B177" t="s">
        <v>533</v>
      </c>
      <c r="C177">
        <v>22778</v>
      </c>
      <c r="D177">
        <v>1.1943716666666599</v>
      </c>
      <c r="E177">
        <v>4.70070905876113E-4</v>
      </c>
      <c r="F177" t="s">
        <v>534</v>
      </c>
    </row>
    <row r="178" spans="1:6" x14ac:dyDescent="0.3">
      <c r="A178" t="s">
        <v>535</v>
      </c>
      <c r="B178" t="s">
        <v>536</v>
      </c>
      <c r="C178">
        <v>20306</v>
      </c>
      <c r="D178">
        <v>1.1883550000000001</v>
      </c>
      <c r="E178">
        <v>4.6422070361635702E-3</v>
      </c>
      <c r="F178" t="s">
        <v>537</v>
      </c>
    </row>
    <row r="179" spans="1:6" x14ac:dyDescent="0.3">
      <c r="A179" t="s">
        <v>538</v>
      </c>
      <c r="B179" t="s">
        <v>539</v>
      </c>
      <c r="C179">
        <v>12525</v>
      </c>
      <c r="D179">
        <v>1.18432</v>
      </c>
      <c r="E179">
        <v>9.1132110551232492E-3</v>
      </c>
      <c r="F179" t="s">
        <v>540</v>
      </c>
    </row>
    <row r="180" spans="1:6" x14ac:dyDescent="0.3">
      <c r="A180" t="s">
        <v>541</v>
      </c>
      <c r="B180" t="s">
        <v>542</v>
      </c>
      <c r="C180">
        <v>80719</v>
      </c>
      <c r="D180">
        <v>1.1841016666666699</v>
      </c>
      <c r="E180">
        <v>2.9122327160136601E-3</v>
      </c>
      <c r="F180" t="s">
        <v>543</v>
      </c>
    </row>
    <row r="181" spans="1:6" x14ac:dyDescent="0.3">
      <c r="A181" t="s">
        <v>544</v>
      </c>
      <c r="B181" t="s">
        <v>545</v>
      </c>
      <c r="C181">
        <v>16174</v>
      </c>
      <c r="D181">
        <v>1.17442333333333</v>
      </c>
      <c r="E181">
        <v>7.7213598823225804E-4</v>
      </c>
      <c r="F181" t="s">
        <v>546</v>
      </c>
    </row>
    <row r="182" spans="1:6" x14ac:dyDescent="0.3">
      <c r="A182" t="s">
        <v>547</v>
      </c>
      <c r="B182" t="s">
        <v>548</v>
      </c>
      <c r="C182">
        <v>20716</v>
      </c>
      <c r="D182">
        <v>1.17112833333333</v>
      </c>
      <c r="E182">
        <v>3.00034979293929E-2</v>
      </c>
      <c r="F182" t="s">
        <v>549</v>
      </c>
    </row>
    <row r="183" spans="1:6" x14ac:dyDescent="0.3">
      <c r="A183" t="s">
        <v>550</v>
      </c>
      <c r="B183" t="s">
        <v>551</v>
      </c>
      <c r="C183">
        <v>12766</v>
      </c>
      <c r="D183">
        <v>1.17061833333333</v>
      </c>
      <c r="E183">
        <v>7.7064939584855401E-4</v>
      </c>
      <c r="F183" t="s">
        <v>552</v>
      </c>
    </row>
    <row r="184" spans="1:6" x14ac:dyDescent="0.3">
      <c r="A184" t="s">
        <v>553</v>
      </c>
      <c r="B184" t="s">
        <v>554</v>
      </c>
      <c r="C184">
        <v>11910</v>
      </c>
      <c r="D184">
        <v>1.16584666666667</v>
      </c>
      <c r="E184">
        <v>2.7181417967656999E-2</v>
      </c>
      <c r="F184" t="s">
        <v>555</v>
      </c>
    </row>
    <row r="185" spans="1:6" x14ac:dyDescent="0.3">
      <c r="A185" t="s">
        <v>556</v>
      </c>
      <c r="B185" t="s">
        <v>557</v>
      </c>
      <c r="C185">
        <v>27226</v>
      </c>
      <c r="D185">
        <v>1.15757</v>
      </c>
      <c r="E185">
        <v>9.0539484403632999E-4</v>
      </c>
      <c r="F185" t="s">
        <v>558</v>
      </c>
    </row>
    <row r="186" spans="1:6" x14ac:dyDescent="0.3">
      <c r="A186" t="s">
        <v>559</v>
      </c>
      <c r="B186" t="s">
        <v>560</v>
      </c>
      <c r="C186">
        <v>210293</v>
      </c>
      <c r="D186">
        <v>1.15391166666667</v>
      </c>
      <c r="E186">
        <v>1.11980050586111E-3</v>
      </c>
      <c r="F186" t="s">
        <v>561</v>
      </c>
    </row>
    <row r="187" spans="1:6" x14ac:dyDescent="0.3">
      <c r="A187" t="s">
        <v>562</v>
      </c>
      <c r="B187" t="s">
        <v>563</v>
      </c>
      <c r="C187">
        <v>226652</v>
      </c>
      <c r="D187">
        <v>1.1490183333333299</v>
      </c>
      <c r="E187">
        <v>7.7213598823225804E-4</v>
      </c>
      <c r="F187" t="s">
        <v>564</v>
      </c>
    </row>
    <row r="188" spans="1:6" x14ac:dyDescent="0.3">
      <c r="A188" t="s">
        <v>565</v>
      </c>
      <c r="B188" t="s">
        <v>566</v>
      </c>
      <c r="C188">
        <v>56620</v>
      </c>
      <c r="D188">
        <v>1.1445000000000001</v>
      </c>
      <c r="E188">
        <v>9.0970642178105597E-4</v>
      </c>
      <c r="F188" t="s">
        <v>567</v>
      </c>
    </row>
    <row r="189" spans="1:6" x14ac:dyDescent="0.3">
      <c r="A189" t="s">
        <v>568</v>
      </c>
      <c r="B189" t="s">
        <v>569</v>
      </c>
      <c r="C189">
        <v>52668</v>
      </c>
      <c r="D189">
        <v>1.1384716666666701</v>
      </c>
      <c r="E189">
        <v>2.7543753909980599E-4</v>
      </c>
      <c r="F189" t="s">
        <v>570</v>
      </c>
    </row>
    <row r="190" spans="1:6" x14ac:dyDescent="0.3">
      <c r="A190" t="s">
        <v>571</v>
      </c>
      <c r="B190" t="s">
        <v>572</v>
      </c>
      <c r="C190">
        <v>382062</v>
      </c>
      <c r="D190">
        <v>1.13835666666667</v>
      </c>
      <c r="E190">
        <v>9.8642367488926204E-4</v>
      </c>
      <c r="F190" t="s">
        <v>573</v>
      </c>
    </row>
    <row r="191" spans="1:6" x14ac:dyDescent="0.3">
      <c r="A191" t="s">
        <v>574</v>
      </c>
      <c r="B191" t="s">
        <v>575</v>
      </c>
      <c r="C191">
        <v>232408</v>
      </c>
      <c r="D191">
        <v>1.1362983333333301</v>
      </c>
      <c r="E191">
        <v>1.3772955745507301E-3</v>
      </c>
      <c r="F191" t="s">
        <v>576</v>
      </c>
    </row>
    <row r="192" spans="1:6" x14ac:dyDescent="0.3">
      <c r="A192" t="s">
        <v>577</v>
      </c>
      <c r="B192" t="s">
        <v>578</v>
      </c>
      <c r="C192">
        <v>16408</v>
      </c>
      <c r="D192">
        <v>1.12645166666667</v>
      </c>
      <c r="E192">
        <v>1.4399828796817299E-4</v>
      </c>
      <c r="F192" t="s">
        <v>579</v>
      </c>
    </row>
    <row r="193" spans="1:6" x14ac:dyDescent="0.3">
      <c r="A193" t="s">
        <v>580</v>
      </c>
      <c r="B193" t="s">
        <v>581</v>
      </c>
      <c r="C193">
        <v>232414</v>
      </c>
      <c r="D193">
        <v>1.1200933333333301</v>
      </c>
      <c r="E193">
        <v>6.6219469663099601E-3</v>
      </c>
      <c r="F193" t="s">
        <v>582</v>
      </c>
    </row>
    <row r="194" spans="1:6" x14ac:dyDescent="0.3">
      <c r="A194" t="s">
        <v>583</v>
      </c>
      <c r="B194" t="s">
        <v>584</v>
      </c>
      <c r="C194" t="s">
        <v>206</v>
      </c>
      <c r="D194">
        <v>1.1199666666666701</v>
      </c>
      <c r="E194">
        <v>2.4289097882359899E-3</v>
      </c>
      <c r="F194" t="s">
        <v>585</v>
      </c>
    </row>
    <row r="195" spans="1:6" x14ac:dyDescent="0.3">
      <c r="A195" t="s">
        <v>586</v>
      </c>
      <c r="B195" t="s">
        <v>587</v>
      </c>
      <c r="C195">
        <v>246177</v>
      </c>
      <c r="D195">
        <v>1.11985166666666</v>
      </c>
      <c r="E195" s="2">
        <v>3.25123920623115E-5</v>
      </c>
      <c r="F195" t="s">
        <v>588</v>
      </c>
    </row>
    <row r="196" spans="1:6" x14ac:dyDescent="0.3">
      <c r="A196" t="s">
        <v>589</v>
      </c>
      <c r="B196" t="s">
        <v>590</v>
      </c>
      <c r="C196">
        <v>15900</v>
      </c>
      <c r="D196">
        <v>1.1149816666666701</v>
      </c>
      <c r="E196">
        <v>3.76635757523262E-4</v>
      </c>
      <c r="F196" t="s">
        <v>591</v>
      </c>
    </row>
    <row r="197" spans="1:6" x14ac:dyDescent="0.3">
      <c r="A197" t="s">
        <v>592</v>
      </c>
      <c r="B197" t="s">
        <v>593</v>
      </c>
      <c r="C197">
        <v>20750</v>
      </c>
      <c r="D197">
        <v>1.11398833333333</v>
      </c>
      <c r="E197">
        <v>1.42494093006584E-2</v>
      </c>
      <c r="F197" t="s">
        <v>594</v>
      </c>
    </row>
    <row r="198" spans="1:6" x14ac:dyDescent="0.3">
      <c r="A198" t="s">
        <v>595</v>
      </c>
      <c r="B198" t="s">
        <v>596</v>
      </c>
      <c r="C198">
        <v>214425</v>
      </c>
      <c r="D198">
        <v>1.1137566666666701</v>
      </c>
      <c r="E198">
        <v>8.0200705343072692E-3</v>
      </c>
      <c r="F198" t="s">
        <v>597</v>
      </c>
    </row>
    <row r="199" spans="1:6" x14ac:dyDescent="0.3">
      <c r="A199" t="s">
        <v>598</v>
      </c>
      <c r="B199" t="s">
        <v>599</v>
      </c>
      <c r="C199">
        <v>17085</v>
      </c>
      <c r="D199">
        <v>1.1131616666666699</v>
      </c>
      <c r="E199">
        <v>7.7025811621485405E-4</v>
      </c>
      <c r="F199" t="s">
        <v>600</v>
      </c>
    </row>
    <row r="200" spans="1:6" x14ac:dyDescent="0.3">
      <c r="A200" t="s">
        <v>601</v>
      </c>
      <c r="B200" t="s">
        <v>602</v>
      </c>
      <c r="C200">
        <v>231932</v>
      </c>
      <c r="D200">
        <v>1.11310666666667</v>
      </c>
      <c r="E200">
        <v>7.0937042776612197E-3</v>
      </c>
      <c r="F200" t="s">
        <v>603</v>
      </c>
    </row>
    <row r="201" spans="1:6" x14ac:dyDescent="0.3">
      <c r="A201" t="s">
        <v>604</v>
      </c>
      <c r="B201" t="s">
        <v>605</v>
      </c>
      <c r="C201">
        <v>23845</v>
      </c>
      <c r="D201">
        <v>1.1125149999999999</v>
      </c>
      <c r="E201">
        <v>3.97114169340491E-3</v>
      </c>
      <c r="F201" t="s">
        <v>606</v>
      </c>
    </row>
    <row r="202" spans="1:6" x14ac:dyDescent="0.3">
      <c r="A202" t="s">
        <v>607</v>
      </c>
      <c r="B202" t="s">
        <v>608</v>
      </c>
      <c r="C202">
        <v>209387</v>
      </c>
      <c r="D202">
        <v>1.11097</v>
      </c>
      <c r="E202">
        <v>1.46551306237347E-2</v>
      </c>
      <c r="F202" t="s">
        <v>609</v>
      </c>
    </row>
    <row r="203" spans="1:6" x14ac:dyDescent="0.3">
      <c r="A203" t="s">
        <v>610</v>
      </c>
      <c r="B203" t="s">
        <v>611</v>
      </c>
      <c r="C203">
        <v>20375</v>
      </c>
      <c r="D203">
        <v>1.1018716666666699</v>
      </c>
      <c r="E203">
        <v>1.32721591614184E-3</v>
      </c>
      <c r="F203" t="s">
        <v>612</v>
      </c>
    </row>
    <row r="204" spans="1:6" x14ac:dyDescent="0.3">
      <c r="A204" t="s">
        <v>613</v>
      </c>
      <c r="B204" t="s">
        <v>614</v>
      </c>
      <c r="C204">
        <v>17069</v>
      </c>
      <c r="D204">
        <v>1.0991933333333299</v>
      </c>
      <c r="E204" s="2">
        <v>6.2120609019152093E-5</v>
      </c>
      <c r="F204" t="s">
        <v>615</v>
      </c>
    </row>
    <row r="205" spans="1:6" x14ac:dyDescent="0.3">
      <c r="A205" t="s">
        <v>616</v>
      </c>
      <c r="B205" t="s">
        <v>617</v>
      </c>
      <c r="C205">
        <v>12182</v>
      </c>
      <c r="D205">
        <v>1.09865833333333</v>
      </c>
      <c r="E205">
        <v>8.3832960530630103E-4</v>
      </c>
      <c r="F205" t="s">
        <v>618</v>
      </c>
    </row>
    <row r="206" spans="1:6" x14ac:dyDescent="0.3">
      <c r="A206" t="s">
        <v>619</v>
      </c>
      <c r="B206" t="s">
        <v>620</v>
      </c>
      <c r="C206">
        <v>211228</v>
      </c>
      <c r="D206">
        <v>1.098055</v>
      </c>
      <c r="E206">
        <v>3.9342523376514801E-4</v>
      </c>
      <c r="F206" t="s">
        <v>621</v>
      </c>
    </row>
    <row r="207" spans="1:6" x14ac:dyDescent="0.3">
      <c r="A207" t="s">
        <v>622</v>
      </c>
      <c r="B207" t="s">
        <v>623</v>
      </c>
      <c r="C207">
        <v>100040018</v>
      </c>
      <c r="D207">
        <v>1.0944133333333299</v>
      </c>
      <c r="E207">
        <v>7.94388068950463E-4</v>
      </c>
      <c r="F207" t="s">
        <v>624</v>
      </c>
    </row>
    <row r="208" spans="1:6" x14ac:dyDescent="0.3">
      <c r="A208" t="s">
        <v>625</v>
      </c>
      <c r="B208" t="s">
        <v>626</v>
      </c>
      <c r="C208">
        <v>212937</v>
      </c>
      <c r="D208">
        <v>1.09260333333333</v>
      </c>
      <c r="E208">
        <v>7.1748856841816005E-4</v>
      </c>
      <c r="F208" t="s">
        <v>627</v>
      </c>
    </row>
    <row r="209" spans="1:6" x14ac:dyDescent="0.3">
      <c r="A209" t="s">
        <v>628</v>
      </c>
      <c r="B209" t="s">
        <v>629</v>
      </c>
      <c r="C209">
        <v>20849</v>
      </c>
      <c r="D209">
        <v>1.09158666666667</v>
      </c>
      <c r="E209">
        <v>6.6922041390195903E-3</v>
      </c>
      <c r="F209" t="s">
        <v>630</v>
      </c>
    </row>
    <row r="210" spans="1:6" x14ac:dyDescent="0.3">
      <c r="A210" t="s">
        <v>631</v>
      </c>
      <c r="B210" t="s">
        <v>632</v>
      </c>
      <c r="C210">
        <v>20296</v>
      </c>
      <c r="D210">
        <v>1.08426333333333</v>
      </c>
      <c r="E210">
        <v>1.51567426033642E-2</v>
      </c>
      <c r="F210" t="s">
        <v>633</v>
      </c>
    </row>
    <row r="211" spans="1:6" x14ac:dyDescent="0.3">
      <c r="A211" t="s">
        <v>634</v>
      </c>
      <c r="B211" t="s">
        <v>635</v>
      </c>
      <c r="C211">
        <v>171207</v>
      </c>
      <c r="D211">
        <v>1.083375</v>
      </c>
      <c r="E211">
        <v>1.9521693827928601E-4</v>
      </c>
      <c r="F211" t="s">
        <v>636</v>
      </c>
    </row>
    <row r="212" spans="1:6" x14ac:dyDescent="0.3">
      <c r="A212" t="s">
        <v>637</v>
      </c>
      <c r="B212" t="s">
        <v>638</v>
      </c>
      <c r="C212">
        <v>216869</v>
      </c>
      <c r="D212">
        <v>1.0810200000000001</v>
      </c>
      <c r="E212">
        <v>1.0708091077635199E-3</v>
      </c>
      <c r="F212" t="s">
        <v>639</v>
      </c>
    </row>
    <row r="213" spans="1:6" x14ac:dyDescent="0.3">
      <c r="A213" t="s">
        <v>640</v>
      </c>
      <c r="B213" t="s">
        <v>641</v>
      </c>
      <c r="C213">
        <v>12260</v>
      </c>
      <c r="D213">
        <v>1.079075</v>
      </c>
      <c r="E213">
        <v>2.3248465058264001E-4</v>
      </c>
      <c r="F213" t="s">
        <v>642</v>
      </c>
    </row>
    <row r="214" spans="1:6" x14ac:dyDescent="0.3">
      <c r="A214" t="s">
        <v>643</v>
      </c>
      <c r="B214" t="s">
        <v>644</v>
      </c>
      <c r="C214">
        <v>14998</v>
      </c>
      <c r="D214">
        <v>1.0779433333333299</v>
      </c>
      <c r="E214">
        <v>1.4624522485724E-3</v>
      </c>
      <c r="F214" t="s">
        <v>645</v>
      </c>
    </row>
    <row r="215" spans="1:6" x14ac:dyDescent="0.3">
      <c r="A215" t="s">
        <v>646</v>
      </c>
      <c r="B215" t="s">
        <v>647</v>
      </c>
      <c r="C215">
        <v>11690</v>
      </c>
      <c r="D215">
        <v>1.0742866666666699</v>
      </c>
      <c r="E215">
        <v>1.01523755384423E-3</v>
      </c>
      <c r="F215" t="s">
        <v>648</v>
      </c>
    </row>
    <row r="216" spans="1:6" x14ac:dyDescent="0.3">
      <c r="A216" t="s">
        <v>649</v>
      </c>
      <c r="B216" t="s">
        <v>650</v>
      </c>
      <c r="C216">
        <v>20539</v>
      </c>
      <c r="D216">
        <v>1.07402333333333</v>
      </c>
      <c r="E216">
        <v>2.10478463314762E-3</v>
      </c>
      <c r="F216" t="s">
        <v>651</v>
      </c>
    </row>
    <row r="217" spans="1:6" x14ac:dyDescent="0.3">
      <c r="A217" t="s">
        <v>652</v>
      </c>
      <c r="B217" t="s">
        <v>653</v>
      </c>
      <c r="C217">
        <v>229898</v>
      </c>
      <c r="D217">
        <v>1.073385</v>
      </c>
      <c r="E217">
        <v>2.3150498401426E-3</v>
      </c>
      <c r="F217" t="s">
        <v>654</v>
      </c>
    </row>
    <row r="218" spans="1:6" x14ac:dyDescent="0.3">
      <c r="A218" t="s">
        <v>655</v>
      </c>
      <c r="B218" t="s">
        <v>656</v>
      </c>
      <c r="C218">
        <v>209200</v>
      </c>
      <c r="D218">
        <v>1.072365</v>
      </c>
      <c r="E218">
        <v>1.3153620555255399E-3</v>
      </c>
      <c r="F218" t="s">
        <v>657</v>
      </c>
    </row>
    <row r="219" spans="1:6" x14ac:dyDescent="0.3">
      <c r="A219" t="s">
        <v>658</v>
      </c>
      <c r="B219" t="s">
        <v>659</v>
      </c>
      <c r="C219">
        <v>56726</v>
      </c>
      <c r="D219">
        <v>1.071385</v>
      </c>
      <c r="E219">
        <v>9.9061283909640599E-3</v>
      </c>
      <c r="F219" t="s">
        <v>660</v>
      </c>
    </row>
    <row r="220" spans="1:6" x14ac:dyDescent="0.3">
      <c r="A220" t="s">
        <v>661</v>
      </c>
      <c r="B220" t="s">
        <v>662</v>
      </c>
      <c r="C220">
        <v>78416</v>
      </c>
      <c r="D220">
        <v>1.0668899999999999</v>
      </c>
      <c r="E220">
        <v>2.1260163912443998E-3</v>
      </c>
      <c r="F220" t="s">
        <v>663</v>
      </c>
    </row>
    <row r="221" spans="1:6" x14ac:dyDescent="0.3">
      <c r="A221" t="s">
        <v>664</v>
      </c>
      <c r="B221" t="s">
        <v>665</v>
      </c>
      <c r="C221">
        <v>81897</v>
      </c>
      <c r="D221">
        <v>1.0643100000000001</v>
      </c>
      <c r="E221">
        <v>1.5110477169089601E-3</v>
      </c>
      <c r="F221" t="s">
        <v>666</v>
      </c>
    </row>
    <row r="222" spans="1:6" x14ac:dyDescent="0.3">
      <c r="A222" t="s">
        <v>667</v>
      </c>
      <c r="B222" t="s">
        <v>668</v>
      </c>
      <c r="C222">
        <v>17869</v>
      </c>
      <c r="D222">
        <v>1.0616099999999999</v>
      </c>
      <c r="E222">
        <v>1.0863807834549899E-2</v>
      </c>
      <c r="F222" t="s">
        <v>669</v>
      </c>
    </row>
    <row r="223" spans="1:6" x14ac:dyDescent="0.3">
      <c r="A223" t="s">
        <v>670</v>
      </c>
      <c r="B223" t="s">
        <v>671</v>
      </c>
      <c r="C223">
        <v>14199</v>
      </c>
      <c r="D223">
        <v>1.0600050000000001</v>
      </c>
      <c r="E223">
        <v>3.11226356550248E-3</v>
      </c>
      <c r="F223" t="s">
        <v>672</v>
      </c>
    </row>
    <row r="224" spans="1:6" x14ac:dyDescent="0.3">
      <c r="A224" t="s">
        <v>673</v>
      </c>
      <c r="B224" t="s">
        <v>674</v>
      </c>
      <c r="C224">
        <v>12262</v>
      </c>
      <c r="D224">
        <v>1.05635833333333</v>
      </c>
      <c r="E224">
        <v>3.9587433499089098E-4</v>
      </c>
      <c r="F224" t="s">
        <v>675</v>
      </c>
    </row>
    <row r="225" spans="1:6" x14ac:dyDescent="0.3">
      <c r="A225" t="s">
        <v>676</v>
      </c>
      <c r="B225" t="s">
        <v>677</v>
      </c>
      <c r="C225">
        <v>71586</v>
      </c>
      <c r="D225">
        <v>1.0549200000000001</v>
      </c>
      <c r="E225">
        <v>1.3853583708883899E-4</v>
      </c>
      <c r="F225" t="s">
        <v>678</v>
      </c>
    </row>
    <row r="226" spans="1:6" x14ac:dyDescent="0.3">
      <c r="A226" t="s">
        <v>679</v>
      </c>
      <c r="B226" t="s">
        <v>680</v>
      </c>
      <c r="C226">
        <v>23962</v>
      </c>
      <c r="D226">
        <v>1.05433</v>
      </c>
      <c r="E226">
        <v>3.05231896591817E-4</v>
      </c>
      <c r="F226" t="s">
        <v>681</v>
      </c>
    </row>
    <row r="227" spans="1:6" x14ac:dyDescent="0.3">
      <c r="A227" t="s">
        <v>682</v>
      </c>
      <c r="B227" t="s">
        <v>683</v>
      </c>
      <c r="C227">
        <v>12259</v>
      </c>
      <c r="D227">
        <v>1.0520149999999999</v>
      </c>
      <c r="E227">
        <v>1.71163512937842E-4</v>
      </c>
      <c r="F227" t="s">
        <v>684</v>
      </c>
    </row>
    <row r="228" spans="1:6" x14ac:dyDescent="0.3">
      <c r="A228" t="s">
        <v>685</v>
      </c>
      <c r="B228" t="s">
        <v>686</v>
      </c>
      <c r="C228">
        <v>80861</v>
      </c>
      <c r="D228">
        <v>1.0489900000000001</v>
      </c>
      <c r="E228">
        <v>3.2054115699344E-3</v>
      </c>
      <c r="F228" t="s">
        <v>687</v>
      </c>
    </row>
    <row r="229" spans="1:6" x14ac:dyDescent="0.3">
      <c r="A229" t="s">
        <v>688</v>
      </c>
      <c r="B229" t="s">
        <v>689</v>
      </c>
      <c r="C229">
        <v>21938</v>
      </c>
      <c r="D229">
        <v>1.04803</v>
      </c>
      <c r="E229">
        <v>1.5663148052964099E-3</v>
      </c>
      <c r="F229" t="s">
        <v>690</v>
      </c>
    </row>
    <row r="230" spans="1:6" x14ac:dyDescent="0.3">
      <c r="A230" t="s">
        <v>691</v>
      </c>
      <c r="B230" t="s">
        <v>692</v>
      </c>
      <c r="C230">
        <v>217203</v>
      </c>
      <c r="D230">
        <v>1.04365333333333</v>
      </c>
      <c r="E230">
        <v>8.1872255046717296E-4</v>
      </c>
      <c r="F230" t="s">
        <v>693</v>
      </c>
    </row>
    <row r="231" spans="1:6" x14ac:dyDescent="0.3">
      <c r="A231" t="s">
        <v>694</v>
      </c>
      <c r="B231" t="s">
        <v>695</v>
      </c>
      <c r="C231">
        <v>13723</v>
      </c>
      <c r="D231">
        <v>1.0424850000000001</v>
      </c>
      <c r="E231">
        <v>1.56364909636837E-3</v>
      </c>
      <c r="F231" t="s">
        <v>696</v>
      </c>
    </row>
    <row r="232" spans="1:6" x14ac:dyDescent="0.3">
      <c r="A232" t="s">
        <v>697</v>
      </c>
      <c r="B232" t="s">
        <v>698</v>
      </c>
      <c r="C232">
        <v>217305</v>
      </c>
      <c r="D232">
        <v>1.0420533333333299</v>
      </c>
      <c r="E232">
        <v>1.82784198106126E-3</v>
      </c>
      <c r="F232" t="s">
        <v>699</v>
      </c>
    </row>
    <row r="233" spans="1:6" x14ac:dyDescent="0.3">
      <c r="A233" t="s">
        <v>700</v>
      </c>
      <c r="B233" t="s">
        <v>701</v>
      </c>
      <c r="C233">
        <v>65972</v>
      </c>
      <c r="D233">
        <v>1.0361566666666699</v>
      </c>
      <c r="E233">
        <v>5.2263984835413996E-4</v>
      </c>
      <c r="F233" t="s">
        <v>702</v>
      </c>
    </row>
    <row r="234" spans="1:6" x14ac:dyDescent="0.3">
      <c r="A234" t="s">
        <v>703</v>
      </c>
      <c r="B234" t="s">
        <v>704</v>
      </c>
      <c r="C234">
        <v>65221</v>
      </c>
      <c r="D234">
        <v>1.03609833333333</v>
      </c>
      <c r="E234">
        <v>8.6583854585120697E-4</v>
      </c>
      <c r="F234" t="s">
        <v>705</v>
      </c>
    </row>
    <row r="235" spans="1:6" x14ac:dyDescent="0.3">
      <c r="A235" t="s">
        <v>706</v>
      </c>
      <c r="B235" t="s">
        <v>707</v>
      </c>
      <c r="C235">
        <v>19204</v>
      </c>
      <c r="D235">
        <v>1.0303100000000001</v>
      </c>
      <c r="E235">
        <v>8.1403719779857601E-4</v>
      </c>
      <c r="F235" t="s">
        <v>708</v>
      </c>
    </row>
    <row r="236" spans="1:6" x14ac:dyDescent="0.3">
      <c r="A236" t="s">
        <v>709</v>
      </c>
      <c r="B236" t="s">
        <v>710</v>
      </c>
      <c r="C236">
        <v>22780</v>
      </c>
      <c r="D236">
        <v>1.02640333333333</v>
      </c>
      <c r="E236">
        <v>1.50385594220437E-3</v>
      </c>
      <c r="F236" t="s">
        <v>711</v>
      </c>
    </row>
    <row r="237" spans="1:6" x14ac:dyDescent="0.3">
      <c r="A237" t="s">
        <v>712</v>
      </c>
      <c r="B237" t="s">
        <v>713</v>
      </c>
      <c r="C237">
        <v>12504</v>
      </c>
      <c r="D237">
        <v>1.02596166666667</v>
      </c>
      <c r="E237">
        <v>5.9079584866885597E-4</v>
      </c>
      <c r="F237" t="s">
        <v>714</v>
      </c>
    </row>
    <row r="238" spans="1:6" x14ac:dyDescent="0.3">
      <c r="A238" t="s">
        <v>715</v>
      </c>
      <c r="B238" t="s">
        <v>716</v>
      </c>
      <c r="C238">
        <v>15163</v>
      </c>
      <c r="D238">
        <v>1.02420333333333</v>
      </c>
      <c r="E238">
        <v>3.4281133372990498E-4</v>
      </c>
      <c r="F238" t="s">
        <v>717</v>
      </c>
    </row>
    <row r="239" spans="1:6" x14ac:dyDescent="0.3">
      <c r="A239" t="s">
        <v>718</v>
      </c>
      <c r="B239" t="s">
        <v>719</v>
      </c>
      <c r="C239">
        <v>16421</v>
      </c>
      <c r="D239">
        <v>1.0230283333333301</v>
      </c>
      <c r="E239">
        <v>1.6672208935004801E-3</v>
      </c>
      <c r="F239" t="s">
        <v>720</v>
      </c>
    </row>
    <row r="240" spans="1:6" x14ac:dyDescent="0.3">
      <c r="A240" t="s">
        <v>721</v>
      </c>
      <c r="B240" t="s">
        <v>722</v>
      </c>
      <c r="C240">
        <v>13036</v>
      </c>
      <c r="D240">
        <v>1.0217383333333301</v>
      </c>
      <c r="E240">
        <v>7.7384841150261805E-4</v>
      </c>
      <c r="F240" t="s">
        <v>723</v>
      </c>
    </row>
    <row r="241" spans="1:6" x14ac:dyDescent="0.3">
      <c r="A241" t="s">
        <v>724</v>
      </c>
      <c r="B241" t="s">
        <v>725</v>
      </c>
      <c r="C241">
        <v>11857</v>
      </c>
      <c r="D241">
        <v>1.0204866666666701</v>
      </c>
      <c r="E241" s="2">
        <v>4.9213973997573802E-5</v>
      </c>
      <c r="F241" t="s">
        <v>726</v>
      </c>
    </row>
    <row r="242" spans="1:6" x14ac:dyDescent="0.3">
      <c r="A242" t="s">
        <v>727</v>
      </c>
      <c r="B242" t="s">
        <v>728</v>
      </c>
      <c r="C242">
        <v>50706</v>
      </c>
      <c r="D242">
        <v>1.0200733333333301</v>
      </c>
      <c r="E242">
        <v>3.6563166225314799E-4</v>
      </c>
      <c r="F242" t="s">
        <v>729</v>
      </c>
    </row>
    <row r="243" spans="1:6" x14ac:dyDescent="0.3">
      <c r="A243" t="s">
        <v>730</v>
      </c>
      <c r="B243" t="s">
        <v>731</v>
      </c>
      <c r="C243">
        <v>17086</v>
      </c>
      <c r="D243">
        <v>1.0181899999999999</v>
      </c>
      <c r="E243">
        <v>3.4844869432658902E-4</v>
      </c>
      <c r="F243" t="s">
        <v>732</v>
      </c>
    </row>
    <row r="244" spans="1:6" x14ac:dyDescent="0.3">
      <c r="A244" t="s">
        <v>733</v>
      </c>
      <c r="B244" t="s">
        <v>734</v>
      </c>
      <c r="C244">
        <v>13034</v>
      </c>
      <c r="D244">
        <v>1.0105266666666699</v>
      </c>
      <c r="E244">
        <v>6.8782701390671195E-4</v>
      </c>
      <c r="F244" t="s">
        <v>735</v>
      </c>
    </row>
    <row r="245" spans="1:6" x14ac:dyDescent="0.3">
      <c r="A245" t="s">
        <v>736</v>
      </c>
      <c r="B245" t="s">
        <v>737</v>
      </c>
      <c r="C245">
        <v>17951</v>
      </c>
      <c r="D245">
        <v>1.0029733333333299</v>
      </c>
      <c r="E245">
        <v>2.5830351052431198E-3</v>
      </c>
      <c r="F245" t="s">
        <v>738</v>
      </c>
    </row>
    <row r="246" spans="1:6" x14ac:dyDescent="0.3">
      <c r="A246" t="s">
        <v>739</v>
      </c>
      <c r="B246" t="s">
        <v>740</v>
      </c>
      <c r="C246">
        <v>236573</v>
      </c>
      <c r="D246">
        <v>1.00030166666667</v>
      </c>
      <c r="E246">
        <v>2.5275481681074699E-3</v>
      </c>
      <c r="F246" t="s">
        <v>741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DD578-918C-4245-8023-7540F80397FE}">
  <dimension ref="A1:Q15"/>
  <sheetViews>
    <sheetView workbookViewId="0">
      <selection activeCell="P5" sqref="P5"/>
    </sheetView>
  </sheetViews>
  <sheetFormatPr defaultRowHeight="14.4" x14ac:dyDescent="0.3"/>
  <cols>
    <col min="2" max="2" width="15.21875" customWidth="1"/>
    <col min="3" max="3" width="8.88671875" customWidth="1"/>
    <col min="16" max="16" width="20.44140625" style="1" customWidth="1"/>
  </cols>
  <sheetData>
    <row r="1" spans="1:17" x14ac:dyDescent="0.3">
      <c r="B1" t="s">
        <v>742</v>
      </c>
      <c r="C1" t="s">
        <v>743</v>
      </c>
      <c r="D1" t="s">
        <v>744</v>
      </c>
      <c r="E1" t="s">
        <v>745</v>
      </c>
      <c r="F1" t="s">
        <v>746</v>
      </c>
      <c r="G1" t="s">
        <v>747</v>
      </c>
      <c r="H1" t="s">
        <v>748</v>
      </c>
      <c r="I1" t="s">
        <v>749</v>
      </c>
      <c r="J1" t="s">
        <v>750</v>
      </c>
      <c r="K1" t="s">
        <v>751</v>
      </c>
      <c r="L1" t="s">
        <v>752</v>
      </c>
      <c r="M1" t="s">
        <v>753</v>
      </c>
      <c r="N1" t="s">
        <v>754</v>
      </c>
      <c r="O1" t="s">
        <v>755</v>
      </c>
      <c r="P1" s="1" t="s">
        <v>889</v>
      </c>
      <c r="Q1" t="s">
        <v>888</v>
      </c>
    </row>
    <row r="2" spans="1:17" x14ac:dyDescent="0.3">
      <c r="A2" t="s">
        <v>16</v>
      </c>
      <c r="B2" t="s">
        <v>15</v>
      </c>
      <c r="C2" t="s">
        <v>756</v>
      </c>
      <c r="D2">
        <v>4.1069000000000004</v>
      </c>
      <c r="E2">
        <v>4.1538199999999996</v>
      </c>
      <c r="F2">
        <v>4.6053800000000003</v>
      </c>
      <c r="G2">
        <v>4.5843400000000001</v>
      </c>
      <c r="H2">
        <v>4.407</v>
      </c>
      <c r="I2">
        <v>3.8972199999999999</v>
      </c>
      <c r="J2">
        <v>8.2342499999999994</v>
      </c>
      <c r="K2">
        <v>7.1098299999999997</v>
      </c>
      <c r="L2">
        <v>6.6448799999999997</v>
      </c>
      <c r="M2">
        <v>7.8129</v>
      </c>
      <c r="N2">
        <v>7.07789</v>
      </c>
      <c r="O2">
        <v>8.6940500000000007</v>
      </c>
      <c r="P2" s="1">
        <v>1.5363127448019001E-5</v>
      </c>
      <c r="Q2">
        <v>3.3031899999999998</v>
      </c>
    </row>
    <row r="3" spans="1:17" x14ac:dyDescent="0.3">
      <c r="A3" t="s">
        <v>31</v>
      </c>
      <c r="B3" t="s">
        <v>30</v>
      </c>
      <c r="C3" t="s">
        <v>756</v>
      </c>
      <c r="D3">
        <v>4.5470600000000001</v>
      </c>
      <c r="E3">
        <v>4.43309</v>
      </c>
      <c r="F3">
        <v>4.54251</v>
      </c>
      <c r="G3">
        <v>4.6328800000000001</v>
      </c>
      <c r="H3">
        <v>4.4048299999999996</v>
      </c>
      <c r="I3">
        <v>4.6257999999999999</v>
      </c>
      <c r="J3">
        <v>8.4664900000000003</v>
      </c>
      <c r="K3">
        <v>7.3524000000000003</v>
      </c>
      <c r="L3">
        <v>6.7341800000000003</v>
      </c>
      <c r="M3">
        <v>7.2452800000000002</v>
      </c>
      <c r="N3">
        <v>7.16411</v>
      </c>
      <c r="O3">
        <v>8.2263400000000004</v>
      </c>
      <c r="P3" s="1">
        <v>1.5278080014457301E-5</v>
      </c>
      <c r="Q3">
        <v>3.0004383333333302</v>
      </c>
    </row>
    <row r="4" spans="1:17" x14ac:dyDescent="0.3">
      <c r="A4" t="s">
        <v>52</v>
      </c>
      <c r="B4" t="s">
        <v>51</v>
      </c>
      <c r="C4" t="s">
        <v>756</v>
      </c>
      <c r="D4">
        <v>5.84382</v>
      </c>
      <c r="E4">
        <v>5.8022900000000002</v>
      </c>
      <c r="F4">
        <v>5.6160399999999999</v>
      </c>
      <c r="G4">
        <v>5.8741099999999999</v>
      </c>
      <c r="H4">
        <v>5.3983499999999998</v>
      </c>
      <c r="I4">
        <v>5.7727000000000004</v>
      </c>
      <c r="J4">
        <v>9.1072299999999995</v>
      </c>
      <c r="K4">
        <v>7.8834999999999997</v>
      </c>
      <c r="L4">
        <v>7.6596000000000002</v>
      </c>
      <c r="M4">
        <v>8.2975200000000005</v>
      </c>
      <c r="N4">
        <v>7.9933899999999998</v>
      </c>
      <c r="O4">
        <v>9.1781699999999997</v>
      </c>
      <c r="P4" s="1">
        <v>1.5710530826301199E-5</v>
      </c>
      <c r="Q4">
        <v>2.6353499999999999</v>
      </c>
    </row>
    <row r="5" spans="1:17" x14ac:dyDescent="0.3">
      <c r="A5" t="s">
        <v>58</v>
      </c>
      <c r="B5" t="s">
        <v>57</v>
      </c>
      <c r="C5" t="s">
        <v>756</v>
      </c>
      <c r="D5">
        <v>5.2268999999999997</v>
      </c>
      <c r="E5">
        <v>4.7885200000000001</v>
      </c>
      <c r="F5">
        <v>5.2551800000000002</v>
      </c>
      <c r="G5">
        <v>4.6314799999999998</v>
      </c>
      <c r="H5">
        <v>4.2669300000000003</v>
      </c>
      <c r="I5">
        <v>4.5529099999999998</v>
      </c>
      <c r="J5">
        <v>8.6975700000000007</v>
      </c>
      <c r="K5">
        <v>6.8506400000000003</v>
      </c>
      <c r="L5">
        <v>6.9416900000000004</v>
      </c>
      <c r="M5">
        <v>7.44808</v>
      </c>
      <c r="N5">
        <v>6.4699600000000004</v>
      </c>
      <c r="O5">
        <v>7.7913699999999997</v>
      </c>
      <c r="P5" s="1">
        <v>1.4746114857122801E-4</v>
      </c>
      <c r="Q5">
        <v>2.5795650000000001</v>
      </c>
    </row>
    <row r="6" spans="1:17" x14ac:dyDescent="0.3">
      <c r="A6" t="s">
        <v>67</v>
      </c>
      <c r="B6" t="s">
        <v>66</v>
      </c>
      <c r="C6" t="s">
        <v>756</v>
      </c>
      <c r="D6">
        <v>4.9269400000000001</v>
      </c>
      <c r="E6">
        <v>5.32775</v>
      </c>
      <c r="F6">
        <v>5.15205</v>
      </c>
      <c r="G6">
        <v>4.8745700000000003</v>
      </c>
      <c r="H6">
        <v>4.9831399999999997</v>
      </c>
      <c r="I6">
        <v>5.1733000000000002</v>
      </c>
      <c r="J6">
        <v>8.7577099999999994</v>
      </c>
      <c r="K6">
        <v>6.8792</v>
      </c>
      <c r="L6">
        <v>7.3465999999999996</v>
      </c>
      <c r="M6">
        <v>7.0259099999999997</v>
      </c>
      <c r="N6">
        <v>6.98956</v>
      </c>
      <c r="O6">
        <v>8.0269399999999997</v>
      </c>
      <c r="P6" s="1">
        <v>7.5372050692496095E-5</v>
      </c>
      <c r="Q6">
        <v>2.4313616666666702</v>
      </c>
    </row>
    <row r="7" spans="1:17" x14ac:dyDescent="0.3">
      <c r="A7" t="s">
        <v>133</v>
      </c>
      <c r="B7" t="s">
        <v>132</v>
      </c>
      <c r="C7" t="s">
        <v>756</v>
      </c>
      <c r="D7">
        <v>5.09971</v>
      </c>
      <c r="E7">
        <v>4.8665099999999999</v>
      </c>
      <c r="F7">
        <v>5.1396899999999999</v>
      </c>
      <c r="G7">
        <v>4.8181900000000004</v>
      </c>
      <c r="H7">
        <v>4.6800899999999999</v>
      </c>
      <c r="I7">
        <v>4.7084999999999999</v>
      </c>
      <c r="J7">
        <v>7.62399</v>
      </c>
      <c r="K7">
        <v>6.3327299999999997</v>
      </c>
      <c r="L7">
        <v>6.3930499999999997</v>
      </c>
      <c r="M7">
        <v>6.6298199999999996</v>
      </c>
      <c r="N7">
        <v>6.72262</v>
      </c>
      <c r="O7">
        <v>7.5223599999999999</v>
      </c>
      <c r="P7" s="1">
        <v>6.0734934770262902E-5</v>
      </c>
      <c r="Q7">
        <v>1.9853133333333299</v>
      </c>
    </row>
    <row r="8" spans="1:17" x14ac:dyDescent="0.3">
      <c r="A8" t="s">
        <v>278</v>
      </c>
      <c r="B8" t="s">
        <v>277</v>
      </c>
      <c r="C8" t="s">
        <v>756</v>
      </c>
      <c r="D8">
        <v>4.7416200000000002</v>
      </c>
      <c r="E8">
        <v>5.12967</v>
      </c>
      <c r="F8">
        <v>4.6500500000000002</v>
      </c>
      <c r="G8">
        <v>4.9980200000000004</v>
      </c>
      <c r="H8">
        <v>4.6666699999999999</v>
      </c>
      <c r="I8">
        <v>4.9391699999999998</v>
      </c>
      <c r="J8">
        <v>6.9111099999999999</v>
      </c>
      <c r="K8">
        <v>5.8726099999999999</v>
      </c>
      <c r="L8">
        <v>5.83887</v>
      </c>
      <c r="M8">
        <v>6.3029200000000003</v>
      </c>
      <c r="N8">
        <v>6.5001699999999998</v>
      </c>
      <c r="O8">
        <v>7.2093699999999998</v>
      </c>
      <c r="P8" s="1">
        <v>2.6360407611755499E-4</v>
      </c>
      <c r="Q8">
        <v>1.584975</v>
      </c>
    </row>
    <row r="9" spans="1:17" x14ac:dyDescent="0.3">
      <c r="A9" t="s">
        <v>347</v>
      </c>
      <c r="B9" t="s">
        <v>346</v>
      </c>
      <c r="C9" t="s">
        <v>756</v>
      </c>
      <c r="D9">
        <v>5.2899599999999998</v>
      </c>
      <c r="E9">
        <v>5.3440799999999999</v>
      </c>
      <c r="F9">
        <v>5.0567700000000002</v>
      </c>
      <c r="G9">
        <v>5.0264300000000004</v>
      </c>
      <c r="H9">
        <v>4.8606199999999999</v>
      </c>
      <c r="I9">
        <v>5.1429</v>
      </c>
      <c r="J9">
        <v>7.3600700000000003</v>
      </c>
      <c r="K9">
        <v>6.4389099999999999</v>
      </c>
      <c r="L9">
        <v>5.9114899999999997</v>
      </c>
      <c r="M9">
        <v>6.8441799999999997</v>
      </c>
      <c r="N9">
        <v>6.0101599999999999</v>
      </c>
      <c r="O9">
        <v>6.8864000000000001</v>
      </c>
      <c r="P9" s="1">
        <v>5.2559898161074696E-4</v>
      </c>
      <c r="Q9">
        <v>1.4550749999999999</v>
      </c>
    </row>
    <row r="10" spans="1:17" x14ac:dyDescent="0.3">
      <c r="A10" t="s">
        <v>446</v>
      </c>
      <c r="B10" t="s">
        <v>445</v>
      </c>
      <c r="C10" t="s">
        <v>756</v>
      </c>
      <c r="D10">
        <v>6.3935500000000003</v>
      </c>
      <c r="E10">
        <v>6.2538099999999996</v>
      </c>
      <c r="F10">
        <v>6.48841</v>
      </c>
      <c r="G10">
        <v>6.3234199999999996</v>
      </c>
      <c r="H10">
        <v>6.4169999999999998</v>
      </c>
      <c r="I10">
        <v>6.3020500000000004</v>
      </c>
      <c r="J10">
        <v>8.2077799999999996</v>
      </c>
      <c r="K10">
        <v>7.4561000000000002</v>
      </c>
      <c r="L10">
        <v>7.14079</v>
      </c>
      <c r="M10">
        <v>7.6812300000000002</v>
      </c>
      <c r="N10">
        <v>7.2488000000000001</v>
      </c>
      <c r="O10">
        <v>8.0621700000000001</v>
      </c>
      <c r="P10" s="1">
        <v>1.87980927587764E-4</v>
      </c>
      <c r="Q10">
        <v>1.2697716666666701</v>
      </c>
    </row>
    <row r="11" spans="1:17" x14ac:dyDescent="0.3">
      <c r="A11" t="s">
        <v>536</v>
      </c>
      <c r="B11" t="s">
        <v>535</v>
      </c>
      <c r="C11" t="s">
        <v>756</v>
      </c>
      <c r="D11">
        <v>5.5468599999999997</v>
      </c>
      <c r="E11">
        <v>5.8281299999999998</v>
      </c>
      <c r="F11">
        <v>5.5871000000000004</v>
      </c>
      <c r="G11">
        <v>5.9120999999999997</v>
      </c>
      <c r="H11">
        <v>5.8978700000000002</v>
      </c>
      <c r="I11">
        <v>6.0377099999999997</v>
      </c>
      <c r="J11">
        <v>7.4020000000000001</v>
      </c>
      <c r="K11">
        <v>6.3655900000000001</v>
      </c>
      <c r="L11">
        <v>6.4718099999999996</v>
      </c>
      <c r="M11">
        <v>6.5488400000000002</v>
      </c>
      <c r="N11">
        <v>7.1707999999999998</v>
      </c>
      <c r="O11">
        <v>7.9808599999999998</v>
      </c>
      <c r="P11" s="1">
        <v>4.6422070361635702E-3</v>
      </c>
      <c r="Q11">
        <v>1.1883550000000001</v>
      </c>
    </row>
    <row r="12" spans="1:17" x14ac:dyDescent="0.3">
      <c r="A12" t="s">
        <v>545</v>
      </c>
      <c r="B12" t="s">
        <v>544</v>
      </c>
      <c r="C12" t="s">
        <v>756</v>
      </c>
      <c r="D12">
        <v>4.6725099999999999</v>
      </c>
      <c r="E12">
        <v>4.97668</v>
      </c>
      <c r="F12">
        <v>4.5808099999999996</v>
      </c>
      <c r="G12">
        <v>4.6908300000000001</v>
      </c>
      <c r="H12">
        <v>4.8052000000000001</v>
      </c>
      <c r="I12">
        <v>4.7466699999999999</v>
      </c>
      <c r="J12">
        <v>6.1539400000000004</v>
      </c>
      <c r="K12">
        <v>6.0122499999999999</v>
      </c>
      <c r="L12">
        <v>5.2399399999999998</v>
      </c>
      <c r="M12">
        <v>6.2988299999999997</v>
      </c>
      <c r="N12">
        <v>5.4205800000000002</v>
      </c>
      <c r="O12">
        <v>6.3936999999999999</v>
      </c>
      <c r="P12" s="1">
        <v>7.7213598823225804E-4</v>
      </c>
      <c r="Q12">
        <v>1.17442333333333</v>
      </c>
    </row>
    <row r="13" spans="1:17" x14ac:dyDescent="0.3">
      <c r="A13" t="s">
        <v>551</v>
      </c>
      <c r="B13" t="s">
        <v>550</v>
      </c>
      <c r="C13" t="s">
        <v>756</v>
      </c>
      <c r="D13">
        <v>5.56243</v>
      </c>
      <c r="E13">
        <v>5.7399300000000002</v>
      </c>
      <c r="F13">
        <v>5.5590200000000003</v>
      </c>
      <c r="G13">
        <v>5.61</v>
      </c>
      <c r="H13">
        <v>5.6652399999999998</v>
      </c>
      <c r="I13">
        <v>5.5405499999999996</v>
      </c>
      <c r="J13">
        <v>7.4350899999999998</v>
      </c>
      <c r="K13">
        <v>6.7208199999999998</v>
      </c>
      <c r="L13">
        <v>6.4619900000000001</v>
      </c>
      <c r="M13">
        <v>6.84274</v>
      </c>
      <c r="N13">
        <v>6.0694800000000004</v>
      </c>
      <c r="O13">
        <v>7.1707599999999996</v>
      </c>
      <c r="P13" s="1">
        <v>7.7064939584855401E-4</v>
      </c>
      <c r="Q13">
        <v>1.17061833333333</v>
      </c>
    </row>
    <row r="14" spans="1:17" x14ac:dyDescent="0.3">
      <c r="A14" t="s">
        <v>632</v>
      </c>
      <c r="B14" t="s">
        <v>631</v>
      </c>
      <c r="C14" t="s">
        <v>756</v>
      </c>
      <c r="D14">
        <v>4.9236599999999999</v>
      </c>
      <c r="E14">
        <v>4.6161099999999999</v>
      </c>
      <c r="F14">
        <v>4.9775099999999997</v>
      </c>
      <c r="G14">
        <v>4.8236800000000004</v>
      </c>
      <c r="H14">
        <v>4.96793</v>
      </c>
      <c r="I14">
        <v>5.5500699999999998</v>
      </c>
      <c r="J14">
        <v>6.5431800000000004</v>
      </c>
      <c r="K14">
        <v>5.43919</v>
      </c>
      <c r="L14">
        <v>5.8392799999999996</v>
      </c>
      <c r="M14">
        <v>5.3660500000000004</v>
      </c>
      <c r="N14">
        <v>6.0106900000000003</v>
      </c>
      <c r="O14">
        <v>7.16615</v>
      </c>
      <c r="P14" s="1">
        <v>1.51567426033642E-2</v>
      </c>
      <c r="Q14">
        <v>1.08426333333333</v>
      </c>
    </row>
    <row r="15" spans="1:17" x14ac:dyDescent="0.3">
      <c r="A15" t="s">
        <v>689</v>
      </c>
      <c r="B15" t="s">
        <v>688</v>
      </c>
      <c r="C15" t="s">
        <v>756</v>
      </c>
      <c r="D15">
        <v>7.4365399999999999</v>
      </c>
      <c r="E15">
        <v>7.4384300000000003</v>
      </c>
      <c r="F15">
        <v>7.5246000000000004</v>
      </c>
      <c r="G15">
        <v>7.5102900000000004</v>
      </c>
      <c r="H15">
        <v>7.5150899999999998</v>
      </c>
      <c r="I15">
        <v>7.6388400000000001</v>
      </c>
      <c r="J15">
        <v>9.1469299999999993</v>
      </c>
      <c r="K15">
        <v>8.2188099999999995</v>
      </c>
      <c r="L15">
        <v>8.1166199999999993</v>
      </c>
      <c r="M15">
        <v>8.6559200000000001</v>
      </c>
      <c r="N15">
        <v>8.1039899999999996</v>
      </c>
      <c r="O15">
        <v>9.1097000000000001</v>
      </c>
      <c r="P15" s="1">
        <v>1.5663148052964099E-3</v>
      </c>
      <c r="Q15">
        <v>1.04803</v>
      </c>
    </row>
  </sheetData>
  <sortState xmlns:xlrd2="http://schemas.microsoft.com/office/spreadsheetml/2017/richdata2" ref="A2:Q15">
    <sortCondition descending="1" ref="Q2:Q1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Viral_protein_interaction_with_</vt:lpstr>
      <vt:lpstr>DEG</vt:lpstr>
      <vt:lpstr>Signifiacant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 Denby-Lee</dc:creator>
  <cp:lastModifiedBy>Theo Denby-Lee</cp:lastModifiedBy>
  <dcterms:created xsi:type="dcterms:W3CDTF">2026-09-28T18:52:45Z</dcterms:created>
  <dcterms:modified xsi:type="dcterms:W3CDTF">2026-09-29T15:47:19Z</dcterms:modified>
</cp:coreProperties>
</file>