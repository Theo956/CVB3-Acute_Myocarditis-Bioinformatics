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414e28dbb05754/Desktop/Research Project/Main RNA-Seq/GSEA Results/Pathways/Pathways Ranked/"/>
    </mc:Choice>
  </mc:AlternateContent>
  <xr:revisionPtr revIDLastSave="0" documentId="8_{8AAE7F83-6CF2-4E25-AB79-9304E79B737B}" xr6:coauthVersionLast="47" xr6:coauthVersionMax="47" xr10:uidLastSave="{00000000-0000-0000-0000-000000000000}"/>
  <bookViews>
    <workbookView xWindow="-108" yWindow="-108" windowWidth="23256" windowHeight="14616" activeTab="1" xr2:uid="{B0F34C4A-E620-477C-AA37-320F90889E4A}"/>
  </bookViews>
  <sheets>
    <sheet name="DEG" sheetId="2" r:id="rId1"/>
    <sheet name="Viral_protein_interaction_with_" sheetId="1" r:id="rId2"/>
    <sheet name="SigPathGenes" sheetId="4" r:id="rId3"/>
  </sheets>
  <definedNames>
    <definedName name="_xlnm._FilterDatabase" localSheetId="1" hidden="1">Viral_protein_interaction_with_!$A$1:$Q$72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2" i="1"/>
</calcChain>
</file>

<file path=xl/sharedStrings.xml><?xml version="1.0" encoding="utf-8"?>
<sst xmlns="http://schemas.openxmlformats.org/spreadsheetml/2006/main" count="1317" uniqueCount="1148">
  <si>
    <t>Ensembl_ID</t>
  </si>
  <si>
    <t>Regulation</t>
  </si>
  <si>
    <t>sham_1</t>
  </si>
  <si>
    <t>sham_2</t>
  </si>
  <si>
    <t>sham_3</t>
  </si>
  <si>
    <t>sham_4</t>
  </si>
  <si>
    <t>sham_5</t>
  </si>
  <si>
    <t>sham_6</t>
  </si>
  <si>
    <t>CVB3_1</t>
  </si>
  <si>
    <t>CVB3_2</t>
  </si>
  <si>
    <t>CVB3_3</t>
  </si>
  <si>
    <t>CVB3_4</t>
  </si>
  <si>
    <t>CVB3_5</t>
  </si>
  <si>
    <t>CVB3_6</t>
  </si>
  <si>
    <t>Ccl3</t>
  </si>
  <si>
    <t>ENSMUSG00000000982</t>
  </si>
  <si>
    <t>Up</t>
  </si>
  <si>
    <t>Ccl24</t>
  </si>
  <si>
    <t>ENSMUSG00000004814</t>
  </si>
  <si>
    <t>None</t>
  </si>
  <si>
    <t>Tnfsf14</t>
  </si>
  <si>
    <t>ENSMUSG00000005824</t>
  </si>
  <si>
    <t>Ccl8</t>
  </si>
  <si>
    <t>ENSMUSG00000009185</t>
  </si>
  <si>
    <t>Csf1</t>
  </si>
  <si>
    <t>ENSMUSG00000014599</t>
  </si>
  <si>
    <t>Il19</t>
  </si>
  <si>
    <t>ENSMUSG00000016524</t>
  </si>
  <si>
    <t>Ccl6</t>
  </si>
  <si>
    <t>ENSMUSG00000018927</t>
  </si>
  <si>
    <t>Ccl4</t>
  </si>
  <si>
    <t>ENSMUSG00000018930</t>
  </si>
  <si>
    <t>Ccl9</t>
  </si>
  <si>
    <t>ENSMUSG00000019122</t>
  </si>
  <si>
    <t>Ccl11</t>
  </si>
  <si>
    <t>ENSMUSG00000020676</t>
  </si>
  <si>
    <t>Cxcl14</t>
  </si>
  <si>
    <t>ENSMUSG00000021508</t>
  </si>
  <si>
    <t>Il6st</t>
  </si>
  <si>
    <t>ENSMUSG00000021756</t>
  </si>
  <si>
    <t>Tnfrsf10b</t>
  </si>
  <si>
    <t>ENSMUSG00000022074</t>
  </si>
  <si>
    <t>Il10rb</t>
  </si>
  <si>
    <t>ENSMUSG00000022969</t>
  </si>
  <si>
    <t>Cxcl13</t>
  </si>
  <si>
    <t>ENSMUSG00000023078</t>
  </si>
  <si>
    <t>Ccl25</t>
  </si>
  <si>
    <t>ENSMUSG00000023235</t>
  </si>
  <si>
    <t>Tnf</t>
  </si>
  <si>
    <t>ENSMUSG00000024401</t>
  </si>
  <si>
    <t>Csf1r</t>
  </si>
  <si>
    <t>ENSMUSG00000024621</t>
  </si>
  <si>
    <t>Il6</t>
  </si>
  <si>
    <t>ENSMUSG00000025746</t>
  </si>
  <si>
    <t>Ccr1</t>
  </si>
  <si>
    <t>ENSMUSG00000025804</t>
  </si>
  <si>
    <t>Il18rap</t>
  </si>
  <si>
    <t>ENSMUSG00000026068</t>
  </si>
  <si>
    <t>Il18r1</t>
  </si>
  <si>
    <t>ENSMUSG00000026070</t>
  </si>
  <si>
    <t>Cxcr2</t>
  </si>
  <si>
    <t>ENSMUSG00000026180</t>
  </si>
  <si>
    <t>Xcl1</t>
  </si>
  <si>
    <t>ENSMUSG00000026573</t>
  </si>
  <si>
    <t>Il2ra</t>
  </si>
  <si>
    <t>ENSMUSG00000026770</t>
  </si>
  <si>
    <t>Il2</t>
  </si>
  <si>
    <t>ENSMUSG00000027720</t>
  </si>
  <si>
    <t>Il6ra</t>
  </si>
  <si>
    <t>ENSMUSG00000027947</t>
  </si>
  <si>
    <t>Tnfrsf1b</t>
  </si>
  <si>
    <t>ENSMUSG00000028599</t>
  </si>
  <si>
    <t>Cxcl5</t>
  </si>
  <si>
    <t>ENSMUSG00000029371</t>
  </si>
  <si>
    <t>Ppbp</t>
  </si>
  <si>
    <t>ENSMUSG00000029372</t>
  </si>
  <si>
    <t>Pf4</t>
  </si>
  <si>
    <t>ENSMUSG00000029373</t>
  </si>
  <si>
    <t>Cxcl3</t>
  </si>
  <si>
    <t>ENSMUSG00000029379</t>
  </si>
  <si>
    <t>Cxcl1</t>
  </si>
  <si>
    <t>ENSMUSG00000029380</t>
  </si>
  <si>
    <t>Cxcl9</t>
  </si>
  <si>
    <t>ENSMUSG00000029417</t>
  </si>
  <si>
    <t>Ccr9</t>
  </si>
  <si>
    <t>ENSMUSG00000029530</t>
  </si>
  <si>
    <t>Ltbr</t>
  </si>
  <si>
    <t>ENSMUSG00000030339</t>
  </si>
  <si>
    <t>Tnfrsf1a</t>
  </si>
  <si>
    <t>ENSMUSG00000030341</t>
  </si>
  <si>
    <t>Il2rg</t>
  </si>
  <si>
    <t>ENSMUSG00000031304</t>
  </si>
  <si>
    <t>Il34</t>
  </si>
  <si>
    <t>ENSMUSG00000031750</t>
  </si>
  <si>
    <t>Cx3cl1</t>
  </si>
  <si>
    <t>ENSMUSG00000031778</t>
  </si>
  <si>
    <t>Ccl22</t>
  </si>
  <si>
    <t>ENSMUSG00000031779</t>
  </si>
  <si>
    <t>Ccl17</t>
  </si>
  <si>
    <t>ENSMUSG00000031780</t>
  </si>
  <si>
    <t>Il10ra</t>
  </si>
  <si>
    <t>ENSMUSG00000032089</t>
  </si>
  <si>
    <t>Cxcl10</t>
  </si>
  <si>
    <t>ENSMUSG00000034855</t>
  </si>
  <si>
    <t>Ccl5</t>
  </si>
  <si>
    <t>ENSMUSG00000035042</t>
  </si>
  <si>
    <t>Ccl12</t>
  </si>
  <si>
    <t>ENSMUSG00000035352</t>
  </si>
  <si>
    <t>Ccl7</t>
  </si>
  <si>
    <t>ENSMUSG00000035373</t>
  </si>
  <si>
    <t>Ccl2</t>
  </si>
  <si>
    <t>ENSMUSG00000035385</t>
  </si>
  <si>
    <t>Ccr7</t>
  </si>
  <si>
    <t>ENSMUSG00000037944</t>
  </si>
  <si>
    <t>Il18</t>
  </si>
  <si>
    <t>ENSMUSG00000039217</t>
  </si>
  <si>
    <t>Tnfsf10</t>
  </si>
  <si>
    <t>ENSMUSG00000039304</t>
  </si>
  <si>
    <t>Tnfrsf14</t>
  </si>
  <si>
    <t>ENSMUSG00000042333</t>
  </si>
  <si>
    <t>Il20rb</t>
  </si>
  <si>
    <t>ENSMUSG00000044244</t>
  </si>
  <si>
    <t>Ackr3</t>
  </si>
  <si>
    <t>ENSMUSG00000044337</t>
  </si>
  <si>
    <t>Cxcr4</t>
  </si>
  <si>
    <t>ENSMUSG00000045382</t>
  </si>
  <si>
    <t>Cxcr5</t>
  </si>
  <si>
    <t>ENSMUSG00000047880</t>
  </si>
  <si>
    <t>Ccr2</t>
  </si>
  <si>
    <t>ENSMUSG00000049103</t>
  </si>
  <si>
    <t>Cxcr3</t>
  </si>
  <si>
    <t>ENSMUSG00000050232</t>
  </si>
  <si>
    <t>Cx3cr1</t>
  </si>
  <si>
    <t>ENSMUSG00000052336</t>
  </si>
  <si>
    <t>Cxcl2</t>
  </si>
  <si>
    <t>ENSMUSG00000058427</t>
  </si>
  <si>
    <t>Xcr1</t>
  </si>
  <si>
    <t>ENSMUSG00000060509</t>
  </si>
  <si>
    <t>Cxcl12</t>
  </si>
  <si>
    <t>ENSMUSG00000061353</t>
  </si>
  <si>
    <t>Il2rb</t>
  </si>
  <si>
    <t>ENSMUSG00000068227</t>
  </si>
  <si>
    <t>Ccl21f</t>
  </si>
  <si>
    <t>ENSMUSG00000073878</t>
  </si>
  <si>
    <t>Gm20878</t>
  </si>
  <si>
    <t>ENSMUSG00000078747</t>
  </si>
  <si>
    <t>Ccr5</t>
  </si>
  <si>
    <t>ENSMUSG00000079227</t>
  </si>
  <si>
    <t>Ackr4</t>
  </si>
  <si>
    <t>ENSMUSG00000079355</t>
  </si>
  <si>
    <t>Ccl21d</t>
  </si>
  <si>
    <t>ENSMUSG00000094065</t>
  </si>
  <si>
    <t>Gm21953</t>
  </si>
  <si>
    <t>ENSMUSG00000094695</t>
  </si>
  <si>
    <t>Gm21586</t>
  </si>
  <si>
    <t>ENSMUSG00000095234</t>
  </si>
  <si>
    <t>Ccl27b</t>
  </si>
  <si>
    <t>ENSMUSG00000096826</t>
  </si>
  <si>
    <t>ensembl_ID</t>
  </si>
  <si>
    <t>symbol</t>
  </si>
  <si>
    <t>entrezgene_id</t>
  </si>
  <si>
    <t>log2FC</t>
  </si>
  <si>
    <t>Adjusted_P_value</t>
  </si>
  <si>
    <t>description</t>
  </si>
  <si>
    <t>C-C motif chemokine ligand 3</t>
  </si>
  <si>
    <t>ENSMUSG00000066363</t>
  </si>
  <si>
    <t>Serpina3f</t>
  </si>
  <si>
    <t>Serine (or cysteine) peptidase inhibitor, clade A, member 3F</t>
  </si>
  <si>
    <t>ENSMUSG00000078763</t>
  </si>
  <si>
    <t>Slfn1</t>
  </si>
  <si>
    <t>3.14160291623168e-06</t>
  </si>
  <si>
    <t>Schlafen 1</t>
  </si>
  <si>
    <t>ENSMUSG00000015437</t>
  </si>
  <si>
    <t>Gzmb</t>
  </si>
  <si>
    <t>Granzyme B</t>
  </si>
  <si>
    <t>ENSMUSG00000030144</t>
  </si>
  <si>
    <t>Clec4d</t>
  </si>
  <si>
    <t>C-type lectin domain family 4, member d</t>
  </si>
  <si>
    <t>ENSMUSG00000027514</t>
  </si>
  <si>
    <t>Zbp1</t>
  </si>
  <si>
    <t>2.10237171859987e-09</t>
  </si>
  <si>
    <t>Z-DNA binding protein 1</t>
  </si>
  <si>
    <t>ENSMUSG00000050359</t>
  </si>
  <si>
    <t>Sprr1a</t>
  </si>
  <si>
    <t>Small proline-rich protein 1A</t>
  </si>
  <si>
    <t>ENSMUSG00000057135</t>
  </si>
  <si>
    <t>Scimp</t>
  </si>
  <si>
    <t>SLP adaptor and CSK interacting membrane protein</t>
  </si>
  <si>
    <t>ENSMUSG00000041481</t>
  </si>
  <si>
    <t>Serpina3g</t>
  </si>
  <si>
    <t>2.23276931988844e-05</t>
  </si>
  <si>
    <t>Serine (or cysteine) peptidase inhibitor, clade A, member 3G</t>
  </si>
  <si>
    <t>ENSMUSG00000023132</t>
  </si>
  <si>
    <t>Gzma</t>
  </si>
  <si>
    <t>1.9953915047949e-11</t>
  </si>
  <si>
    <t>Granzyme A</t>
  </si>
  <si>
    <t>1.09341664899741e-17</t>
  </si>
  <si>
    <t>C-C motif chemokine ligand 5</t>
  </si>
  <si>
    <t>ENSMUSG00000068246</t>
  </si>
  <si>
    <t>Apol9b</t>
  </si>
  <si>
    <t>2.49160922660021e-05</t>
  </si>
  <si>
    <t>Apolipoprotein L 9b</t>
  </si>
  <si>
    <t>ENSMUSG00000026981</t>
  </si>
  <si>
    <t>Il1rn</t>
  </si>
  <si>
    <t>Interleukin 1 receptor antagonist</t>
  </si>
  <si>
    <t>ENSMUSG00000029322</t>
  </si>
  <si>
    <t>Plac8</t>
  </si>
  <si>
    <t>5.14528244248622e-05</t>
  </si>
  <si>
    <t>Placenta-specific 8</t>
  </si>
  <si>
    <t>ENSMUSG00000026822</t>
  </si>
  <si>
    <t>Lcn2</t>
  </si>
  <si>
    <t>2.47906302059266e-09</t>
  </si>
  <si>
    <t>Lipocalin 2</t>
  </si>
  <si>
    <t>ENSMUSG00000068606</t>
  </si>
  <si>
    <t>Gm4841</t>
  </si>
  <si>
    <t>1.08795729939243e-05</t>
  </si>
  <si>
    <t>Predicted gene 4841</t>
  </si>
  <si>
    <t>ENSMUSG00000000386</t>
  </si>
  <si>
    <t>Mx1</t>
  </si>
  <si>
    <t>NA</t>
  </si>
  <si>
    <t>MX dynamin-like GTPase 1</t>
  </si>
  <si>
    <t>ENSMUSG00000004612</t>
  </si>
  <si>
    <t>Nkg7</t>
  </si>
  <si>
    <t>4.39319998134839e-07</t>
  </si>
  <si>
    <t>Natural killer cell group 7 sequence</t>
  </si>
  <si>
    <t>7.75908430041051e-06</t>
  </si>
  <si>
    <t>C-C motif chemokine ligand 8</t>
  </si>
  <si>
    <t>ENSMUSG00000037849</t>
  </si>
  <si>
    <t>Ifi206</t>
  </si>
  <si>
    <t>Interferon activated gene 206</t>
  </si>
  <si>
    <t>ENSMUSG00000074896</t>
  </si>
  <si>
    <t>Ifit3</t>
  </si>
  <si>
    <t>1.74976602858395e-10</t>
  </si>
  <si>
    <t>Interferon-induced protein with tetratricopeptide repeats 3</t>
  </si>
  <si>
    <t>ENSMUSG00000090942</t>
  </si>
  <si>
    <t>F830016B08Rik</t>
  </si>
  <si>
    <t>2.30801980364644e-06</t>
  </si>
  <si>
    <t>RIKEN cDNA F830016B08 gene</t>
  </si>
  <si>
    <t>4.16603987976533e-05</t>
  </si>
  <si>
    <t>C-C motif chemokine ligand 12</t>
  </si>
  <si>
    <t>ENSMUSG00000050370</t>
  </si>
  <si>
    <t>Ch25h</t>
  </si>
  <si>
    <t>Cholesterol 25-hydroxylase</t>
  </si>
  <si>
    <t>ENSMUSG00000040809</t>
  </si>
  <si>
    <t>Chil3</t>
  </si>
  <si>
    <t>Chitinase-like 3</t>
  </si>
  <si>
    <t>ENSMUSG00000041827</t>
  </si>
  <si>
    <t>Oasl1</t>
  </si>
  <si>
    <t>2.71086579713245e-05</t>
  </si>
  <si>
    <t>2'-5' oligoadenylate synthetase-like 1</t>
  </si>
  <si>
    <t>ENSMUSG00000032661</t>
  </si>
  <si>
    <t>Oas3</t>
  </si>
  <si>
    <t>8.43523678113479e-05</t>
  </si>
  <si>
    <t>2'-5' oligoadenylate synthetase 3</t>
  </si>
  <si>
    <t>ENSMUSG00000050335</t>
  </si>
  <si>
    <t>Lgals3</t>
  </si>
  <si>
    <t>1.55974637377904e-07</t>
  </si>
  <si>
    <t>Lectin, galactose binding, soluble 3</t>
  </si>
  <si>
    <t>ENSMUSG00000057346</t>
  </si>
  <si>
    <t>Apol9a</t>
  </si>
  <si>
    <t>7.32253724727273e-06</t>
  </si>
  <si>
    <t>Apolipoprotein L 9a</t>
  </si>
  <si>
    <t>ENSMUSG00000022586</t>
  </si>
  <si>
    <t>Ly6i</t>
  </si>
  <si>
    <t>Lymphocyte antigen 6 family member  I</t>
  </si>
  <si>
    <t>ENSMUSG00000030325</t>
  </si>
  <si>
    <t>Klrb1c</t>
  </si>
  <si>
    <t>Killer cell lectin-like receptor subfamily B member 1C</t>
  </si>
  <si>
    <t>ENSMUSG00000043263</t>
  </si>
  <si>
    <t>Ifi209</t>
  </si>
  <si>
    <t>1.84082613471991e-05</t>
  </si>
  <si>
    <t>Interferon activated gene 209</t>
  </si>
  <si>
    <t>ENSMUSG00000001131</t>
  </si>
  <si>
    <t>Timp1</t>
  </si>
  <si>
    <t>Tissue inhibitor of metalloproteinase 1</t>
  </si>
  <si>
    <t>ENSMUSG00000015451</t>
  </si>
  <si>
    <t>C4a</t>
  </si>
  <si>
    <t>9.467389801632e-12</t>
  </si>
  <si>
    <t>Complement C4A (Rodgers blood group)</t>
  </si>
  <si>
    <t>ENSMUSG00000091649</t>
  </si>
  <si>
    <t>Phf11b</t>
  </si>
  <si>
    <t>1.23364522184958e-07</t>
  </si>
  <si>
    <t>PHD finger protein 11B</t>
  </si>
  <si>
    <t>ENSMUSG00000062488</t>
  </si>
  <si>
    <t>Ifit3b</t>
  </si>
  <si>
    <t>9.18006303216833e-18</t>
  </si>
  <si>
    <t>Interferon-induced protein with tetratricopeptide repeats 3B</t>
  </si>
  <si>
    <t>ENSMUSG00000024675</t>
  </si>
  <si>
    <t>Ms4a4c</t>
  </si>
  <si>
    <t>Membrane-spanning 4-domains, subfamily A, member 4C</t>
  </si>
  <si>
    <t>C-X-C motif chemokine ligand 10</t>
  </si>
  <si>
    <t>ENSMUSG00000025498</t>
  </si>
  <si>
    <t>Irf7</t>
  </si>
  <si>
    <t>1.37375162927391e-42</t>
  </si>
  <si>
    <t>Interferon regulatory factor 7</t>
  </si>
  <si>
    <t>ENSMUSG00000030187</t>
  </si>
  <si>
    <t>Klra2</t>
  </si>
  <si>
    <t>Killer cell lectin-like receptor, subfamily A, member 2</t>
  </si>
  <si>
    <t>ENSMUSG00000059089</t>
  </si>
  <si>
    <t>Fcgr4</t>
  </si>
  <si>
    <t>1.1850799585587e-06</t>
  </si>
  <si>
    <t>Fc receptor, IgG, low affinity IV</t>
  </si>
  <si>
    <t>ENSMUSG00000034266</t>
  </si>
  <si>
    <t>Batf</t>
  </si>
  <si>
    <t>Basic leucine zipper transcription factor, ATF-like</t>
  </si>
  <si>
    <t>C-C motif chemokine ligand 4</t>
  </si>
  <si>
    <t>ENSMUSG00000003283</t>
  </si>
  <si>
    <t>Hck</t>
  </si>
  <si>
    <t>1.10473374358088e-05</t>
  </si>
  <si>
    <t>Hemopoietic cell kinase</t>
  </si>
  <si>
    <t>ENSMUSG00000022126</t>
  </si>
  <si>
    <t>Acod1</t>
  </si>
  <si>
    <t>Aconitate decarboxylase 1</t>
  </si>
  <si>
    <t>ENSMUSG00000059108</t>
  </si>
  <si>
    <t>Ifitm6</t>
  </si>
  <si>
    <t>Interferon induced transmembrane protein 6</t>
  </si>
  <si>
    <t>ENSMUSG00000000204</t>
  </si>
  <si>
    <t>Slfn4</t>
  </si>
  <si>
    <t>Schlafen 4</t>
  </si>
  <si>
    <t>C-C motif chemokine ligand 2</t>
  </si>
  <si>
    <t>ENSMUSG00000027832</t>
  </si>
  <si>
    <t>Ptx3</t>
  </si>
  <si>
    <t>Pentraxin related gene</t>
  </si>
  <si>
    <t>ENSMUSG00000045932</t>
  </si>
  <si>
    <t>Ifit2</t>
  </si>
  <si>
    <t>9.48040370992506e-12</t>
  </si>
  <si>
    <t>Interferon-induced protein with tetratricopeptide repeats 2</t>
  </si>
  <si>
    <t>ENSMUSG00000027863</t>
  </si>
  <si>
    <t>Cd2</t>
  </si>
  <si>
    <t>CD2 antigen</t>
  </si>
  <si>
    <t>ENSMUSG00000004707</t>
  </si>
  <si>
    <t>Ly9</t>
  </si>
  <si>
    <t>Lymphocyte antigen 9</t>
  </si>
  <si>
    <t>ENSMUSG00000030149</t>
  </si>
  <si>
    <t>Klrk1</t>
  </si>
  <si>
    <t>Killer cell lectin-like receptor subfamily K, member 1</t>
  </si>
  <si>
    <t>ENSMUSG00000022548</t>
  </si>
  <si>
    <t>Apod</t>
  </si>
  <si>
    <t>6.12678176341692e-28</t>
  </si>
  <si>
    <t>Apolipoprotein D</t>
  </si>
  <si>
    <t>ENSMUSG00000044703</t>
  </si>
  <si>
    <t>Phf11a</t>
  </si>
  <si>
    <t>1.47545050137645e-05</t>
  </si>
  <si>
    <t>PHD finger protein 11A</t>
  </si>
  <si>
    <t>ENSMUSG00000022871</t>
  </si>
  <si>
    <t>Fetub</t>
  </si>
  <si>
    <t>Fetuin beta</t>
  </si>
  <si>
    <t>ENSMUSG00000040483</t>
  </si>
  <si>
    <t>Xaf1</t>
  </si>
  <si>
    <t>2.47442794586109e-20</t>
  </si>
  <si>
    <t>XIAP associated factor 1</t>
  </si>
  <si>
    <t>ENSMUSG00000038508</t>
  </si>
  <si>
    <t>Gdf15</t>
  </si>
  <si>
    <t>3.28901986709997e-11</t>
  </si>
  <si>
    <t>Growth differentiation factor 15</t>
  </si>
  <si>
    <t>ENSMUSG00000021091</t>
  </si>
  <si>
    <t>Serpina3n</t>
  </si>
  <si>
    <t>Serine (or cysteine) peptidase inhibitor, clade A, member 3N</t>
  </si>
  <si>
    <t>ENSMUSG00000000409</t>
  </si>
  <si>
    <t>Lck</t>
  </si>
  <si>
    <t>Lymphocyte protein tyrosine kinase</t>
  </si>
  <si>
    <t>ENSMUSG00000073418</t>
  </si>
  <si>
    <t>C4b</t>
  </si>
  <si>
    <t>8.61907138090704e-17</t>
  </si>
  <si>
    <t>Complement C4B (Chido blood group)</t>
  </si>
  <si>
    <t>ENSMUSG00000038179</t>
  </si>
  <si>
    <t>Slamf7</t>
  </si>
  <si>
    <t>SLAM family member 7</t>
  </si>
  <si>
    <t>ENSMUSG00000034459</t>
  </si>
  <si>
    <t>Ifit1</t>
  </si>
  <si>
    <t>Interferon-induced protein with tetratricopeptide repeats 1</t>
  </si>
  <si>
    <t>1.08753240539106e-05</t>
  </si>
  <si>
    <t>C-C motif chemokine ligand 7</t>
  </si>
  <si>
    <t>ENSMUSG00000025473</t>
  </si>
  <si>
    <t>Adam8</t>
  </si>
  <si>
    <t>A disintegrin and metallopeptidase domain 8</t>
  </si>
  <si>
    <t>ENSMUSG00000037202</t>
  </si>
  <si>
    <t>Prf1</t>
  </si>
  <si>
    <t>Perforin 1 (pore forming protein)</t>
  </si>
  <si>
    <t>ENSMUSG00000024910</t>
  </si>
  <si>
    <t>Ctsw</t>
  </si>
  <si>
    <t>Cathepsin W</t>
  </si>
  <si>
    <t>ENSMUSG00000104713</t>
  </si>
  <si>
    <t>Gbp6</t>
  </si>
  <si>
    <t>5.57566325416633e-19</t>
  </si>
  <si>
    <t>Guanylate binding protein 6</t>
  </si>
  <si>
    <t>C-C motif chemokine receptor 1</t>
  </si>
  <si>
    <t>ENSMUSG00000040204</t>
  </si>
  <si>
    <t>Pclaf</t>
  </si>
  <si>
    <t>PCNA clamp associated factor</t>
  </si>
  <si>
    <t>ENSMUSG00000056290</t>
  </si>
  <si>
    <t>Ms4a4b</t>
  </si>
  <si>
    <t>Membrane-spanning 4-domains, subfamily A, member 4B</t>
  </si>
  <si>
    <t>ENSMUSG00000054072</t>
  </si>
  <si>
    <t>Iigp1</t>
  </si>
  <si>
    <t>6.49688070971563e-05</t>
  </si>
  <si>
    <t>Interferon inducible GTPase 1</t>
  </si>
  <si>
    <t>ENSMUSG00000079419</t>
  </si>
  <si>
    <t>Ms4a6c</t>
  </si>
  <si>
    <t>8.92704903397893e-05</t>
  </si>
  <si>
    <t>Membrane-spanning 4-domains, subfamily A, member 6C</t>
  </si>
  <si>
    <t>ENSMUSG00000023341</t>
  </si>
  <si>
    <t>Mx2</t>
  </si>
  <si>
    <t>MX dynamin-like GTPase 2</t>
  </si>
  <si>
    <t>ENSMUSG00000046879</t>
  </si>
  <si>
    <t>Irgm1</t>
  </si>
  <si>
    <t>2.13676162417161e-08</t>
  </si>
  <si>
    <t>Immunity-related GTPase family M member 1</t>
  </si>
  <si>
    <t>ENSMUSG00000015947</t>
  </si>
  <si>
    <t>Fcgr1</t>
  </si>
  <si>
    <t>3.07593519990243e-05</t>
  </si>
  <si>
    <t>Fc receptor, IgG, high affinity I</t>
  </si>
  <si>
    <t>ENSMUSG00000024679</t>
  </si>
  <si>
    <t>Ms4a6d</t>
  </si>
  <si>
    <t>Membrane-spanning 4-domains, subfamily A, member 6D</t>
  </si>
  <si>
    <t>ENSMUSG00000028459</t>
  </si>
  <si>
    <t>Cd72</t>
  </si>
  <si>
    <t>4.01970116215149e-05</t>
  </si>
  <si>
    <t>CD72 antigen</t>
  </si>
  <si>
    <t>ENSMUSG00000095609</t>
  </si>
  <si>
    <t>Anxa2r1</t>
  </si>
  <si>
    <t>Annexin A2 receptor 1</t>
  </si>
  <si>
    <t>ENSMUSG00000040026</t>
  </si>
  <si>
    <t>Saa3</t>
  </si>
  <si>
    <t>Serum amyloid A 3</t>
  </si>
  <si>
    <t>ENSMUSG00000027322</t>
  </si>
  <si>
    <t>Siglec1</t>
  </si>
  <si>
    <t>Sialic acid binding Ig-like lectin 1, sialoadhesin</t>
  </si>
  <si>
    <t>ENSMUSG00000038642</t>
  </si>
  <si>
    <t>Ctss</t>
  </si>
  <si>
    <t>1.32818135301303e-05</t>
  </si>
  <si>
    <t>Cathepsin S</t>
  </si>
  <si>
    <t>ENSMUSG00000052776</t>
  </si>
  <si>
    <t>Oas1a</t>
  </si>
  <si>
    <t>2'-5' oligoadenylate synthetase 1A</t>
  </si>
  <si>
    <t>ENSMUSG00000051457</t>
  </si>
  <si>
    <t>Spn</t>
  </si>
  <si>
    <t>Sialophorin</t>
  </si>
  <si>
    <t>ENSMUSG00000024672</t>
  </si>
  <si>
    <t>Ms4a7</t>
  </si>
  <si>
    <t>2.68467231496776e-06</t>
  </si>
  <si>
    <t>Membrane-spanning 4-domains, subfamily A, member 7</t>
  </si>
  <si>
    <t>ENSMUSG00000071714</t>
  </si>
  <si>
    <t>Csf2rb2</t>
  </si>
  <si>
    <t>Colony stimulating factor 2 receptor, beta 2, low-affinity (granulocyte-macrophage)</t>
  </si>
  <si>
    <t>ENSMUSG00000033777</t>
  </si>
  <si>
    <t>Tlr13</t>
  </si>
  <si>
    <t>Toll-like receptor 13</t>
  </si>
  <si>
    <t>ENSMUSG00000000682</t>
  </si>
  <si>
    <t>Cd52</t>
  </si>
  <si>
    <t>3.79163718683415e-08</t>
  </si>
  <si>
    <t>CD52 antigen</t>
  </si>
  <si>
    <t>ENSMUSG00000031762</t>
  </si>
  <si>
    <t>Mt2</t>
  </si>
  <si>
    <t>8.28722446239597e-14</t>
  </si>
  <si>
    <t>Metallothionein 2</t>
  </si>
  <si>
    <t>ENSMUSG00000030107</t>
  </si>
  <si>
    <t>Usp18</t>
  </si>
  <si>
    <t>Ubiquitin specific peptidase 18</t>
  </si>
  <si>
    <t>ENSMUSG00000030474</t>
  </si>
  <si>
    <t>Siglece</t>
  </si>
  <si>
    <t>Sialic acid binding Ig-like lectin E</t>
  </si>
  <si>
    <t>ENSMUSG00000035692</t>
  </si>
  <si>
    <t>Isg15</t>
  </si>
  <si>
    <t>ISG15 ubiquitin-like modifier</t>
  </si>
  <si>
    <t>ENSMUSG00000022584</t>
  </si>
  <si>
    <t>Ly6c2</t>
  </si>
  <si>
    <t>Lymphocyte antigen 6 family memberC2</t>
  </si>
  <si>
    <t>ENSMUSG00000025877</t>
  </si>
  <si>
    <t>Hk3</t>
  </si>
  <si>
    <t>Hexokinase 3</t>
  </si>
  <si>
    <t>ENSMUSG00000089929</t>
  </si>
  <si>
    <t>Bcl2a1b</t>
  </si>
  <si>
    <t>B cell leukemia/lymphoma 2 related protein A1b</t>
  </si>
  <si>
    <t>ENSMUSG00000068245</t>
  </si>
  <si>
    <t>Phf11d</t>
  </si>
  <si>
    <t>4.07371709390312e-08</t>
  </si>
  <si>
    <t>PHD finger protein 11D</t>
  </si>
  <si>
    <t>ENSMUSG00000099974</t>
  </si>
  <si>
    <t>Bcl2a1d</t>
  </si>
  <si>
    <t>B cell leukemia/lymphoma 2 related protein A1d</t>
  </si>
  <si>
    <t>ENSMUSG00000037321</t>
  </si>
  <si>
    <t>Tap1</t>
  </si>
  <si>
    <t>1.53901190773171e-08</t>
  </si>
  <si>
    <t>Transporter 1, ATP-binding cassette, sub-family B (MDR/TAP)</t>
  </si>
  <si>
    <t>ENSMUSG00000030745</t>
  </si>
  <si>
    <t>Il21r</t>
  </si>
  <si>
    <t>Interleukin 21 receptor</t>
  </si>
  <si>
    <t>ENSMUSG00000017830</t>
  </si>
  <si>
    <t>Dhx58</t>
  </si>
  <si>
    <t>DExH-box helicase 58</t>
  </si>
  <si>
    <t>ENSMUSG00000026979</t>
  </si>
  <si>
    <t>Psd4</t>
  </si>
  <si>
    <t>Pleckstrin and Sec7 domain containing 4</t>
  </si>
  <si>
    <t>ENSMUSG00000069874</t>
  </si>
  <si>
    <t>Irgm2</t>
  </si>
  <si>
    <t>3.35831935389953e-05</t>
  </si>
  <si>
    <t>Immunity-related GTPase family M member 2</t>
  </si>
  <si>
    <t>ENSMUSG00000013584</t>
  </si>
  <si>
    <t>Aldh1a2</t>
  </si>
  <si>
    <t>Aldehyde dehydrogenase family 1, subfamily A2</t>
  </si>
  <si>
    <t>ENSMUSG00000044811</t>
  </si>
  <si>
    <t>Cd300c2</t>
  </si>
  <si>
    <t>CD300C molecule 2</t>
  </si>
  <si>
    <t>ENSMUSG00000043832</t>
  </si>
  <si>
    <t>Clec4a3</t>
  </si>
  <si>
    <t>C-type lectin domain family 4, member a3</t>
  </si>
  <si>
    <t>ENSMUSG00000030789</t>
  </si>
  <si>
    <t>Itgax</t>
  </si>
  <si>
    <t>Integrin alpha X</t>
  </si>
  <si>
    <t>ENSMUSG00000029082</t>
  </si>
  <si>
    <t>Bst1</t>
  </si>
  <si>
    <t>Bone marrow stromal cell antigen 1</t>
  </si>
  <si>
    <t>ENSMUSG00000024696</t>
  </si>
  <si>
    <t>Lpxn</t>
  </si>
  <si>
    <t>Leupaxin</t>
  </si>
  <si>
    <t>ENSMUSG00000049988</t>
  </si>
  <si>
    <t>Lrrc25</t>
  </si>
  <si>
    <t>Leucine rich repeat containing 25</t>
  </si>
  <si>
    <t>ENSMUSG00000024677</t>
  </si>
  <si>
    <t>Ms4a6b</t>
  </si>
  <si>
    <t>Membrane-spanning 4-domains, subfamily A, member 6B</t>
  </si>
  <si>
    <t>ENSMUSG00000028037</t>
  </si>
  <si>
    <t>Ifi44</t>
  </si>
  <si>
    <t>Interferon-induced protein 44</t>
  </si>
  <si>
    <t>ENSMUSG00000056888</t>
  </si>
  <si>
    <t>Glipr1</t>
  </si>
  <si>
    <t>GLI pathogenesis related 1</t>
  </si>
  <si>
    <t>ENSMUSG00000066861</t>
  </si>
  <si>
    <t>Oas1g</t>
  </si>
  <si>
    <t>2'-5' oligoadenylate synthetase 1G</t>
  </si>
  <si>
    <t>ENSMUSG00000073555</t>
  </si>
  <si>
    <t>Iigp1c</t>
  </si>
  <si>
    <t>Interferon inducible GTPase 1C</t>
  </si>
  <si>
    <t>ENSMUSG00000040552</t>
  </si>
  <si>
    <t>C3ar1</t>
  </si>
  <si>
    <t>1.29855626114257e-06</t>
  </si>
  <si>
    <t>Complement component 3a receptor 1</t>
  </si>
  <si>
    <t>ENSMUSG00000057191</t>
  </si>
  <si>
    <t>AB124611</t>
  </si>
  <si>
    <t>CDNA sequence AB124611</t>
  </si>
  <si>
    <t>ENSMUSG00000038147</t>
  </si>
  <si>
    <t>Cd84</t>
  </si>
  <si>
    <t>CD84 antigen</t>
  </si>
  <si>
    <t>ENSMUSG00000102037</t>
  </si>
  <si>
    <t>Bcl2a1a</t>
  </si>
  <si>
    <t>B cell leukemia/lymphoma 2 related protein A1a</t>
  </si>
  <si>
    <t>ENSMUSG00000067212</t>
  </si>
  <si>
    <t>H2-T23</t>
  </si>
  <si>
    <t>4.49602783941013e-07</t>
  </si>
  <si>
    <t>Histocompatibility 2, T region locus 23</t>
  </si>
  <si>
    <t>ENSMUSG00000046694</t>
  </si>
  <si>
    <t>Tent5b</t>
  </si>
  <si>
    <t>Terminal nucleotidyltransferase 5B</t>
  </si>
  <si>
    <t>ENSMUSG00000029771</t>
  </si>
  <si>
    <t>Irf5</t>
  </si>
  <si>
    <t>3.82173049889054e-05</t>
  </si>
  <si>
    <t>Interferon regulatory factor 5</t>
  </si>
  <si>
    <t>ENSMUSG00000078922</t>
  </si>
  <si>
    <t>Tgtp1</t>
  </si>
  <si>
    <t>4.13199930992276e-06</t>
  </si>
  <si>
    <t>T cell specific GTPase 1</t>
  </si>
  <si>
    <t>ENSMUSG00000049037</t>
  </si>
  <si>
    <t>Clec4a1</t>
  </si>
  <si>
    <t>1.1619065126872e-09</t>
  </si>
  <si>
    <t>C-type lectin domain family 4, member a1</t>
  </si>
  <si>
    <t>ENSMUSG00000030148</t>
  </si>
  <si>
    <t>Clec4a2</t>
  </si>
  <si>
    <t>C-type lectin domain family 4, member a2</t>
  </si>
  <si>
    <t>ENSMUSG00000112023</t>
  </si>
  <si>
    <t>Lilrb4b</t>
  </si>
  <si>
    <t>3.89684304826327e-05</t>
  </si>
  <si>
    <t>Leukocyte immunoglobulin-like receptor, subfamily B, member 4B</t>
  </si>
  <si>
    <t>ENSMUSG00000049303</t>
  </si>
  <si>
    <t>Syt12</t>
  </si>
  <si>
    <t>Synaptotagmin XII</t>
  </si>
  <si>
    <t>ENSMUSG00000026104</t>
  </si>
  <si>
    <t>Stat1</t>
  </si>
  <si>
    <t>6.87291653023448e-10</t>
  </si>
  <si>
    <t>Signal transducer and activator of transcription 1</t>
  </si>
  <si>
    <t>ENSMUSG00000024397</t>
  </si>
  <si>
    <t>Aif1</t>
  </si>
  <si>
    <t>Allograft inflammatory factor 1</t>
  </si>
  <si>
    <t>ENSMUSG00000040528</t>
  </si>
  <si>
    <t>Milr1</t>
  </si>
  <si>
    <t>Mast cell immunoglobulin like receptor 1</t>
  </si>
  <si>
    <t>ENSMUSG00000003484</t>
  </si>
  <si>
    <t>Cyp4f18</t>
  </si>
  <si>
    <t>Cytochrome P450, family 4, subfamily f, polypeptide 18</t>
  </si>
  <si>
    <t>ENSMUSG00000046805</t>
  </si>
  <si>
    <t>Mpeg1</t>
  </si>
  <si>
    <t>Macrophage expressed gene 1</t>
  </si>
  <si>
    <t>ENSMUSG00000061232</t>
  </si>
  <si>
    <t>H2-K1</t>
  </si>
  <si>
    <t>3.90417908913865e-31</t>
  </si>
  <si>
    <t>Histocompatibility 2, K1, K region</t>
  </si>
  <si>
    <t>ENSMUSG00000046718</t>
  </si>
  <si>
    <t>Bst2</t>
  </si>
  <si>
    <t>1.51937383090915e-11</t>
  </si>
  <si>
    <t>Bone marrow stromal cell antigen 2</t>
  </si>
  <si>
    <t>ENSMUSG00000048163</t>
  </si>
  <si>
    <t>Selplg</t>
  </si>
  <si>
    <t>2.96012426613103e-05</t>
  </si>
  <si>
    <t>Selectin, platelet (p-selectin) ligand</t>
  </si>
  <si>
    <t>ENSMUSG00000043613</t>
  </si>
  <si>
    <t>Mmp3</t>
  </si>
  <si>
    <t>Matrix metallopeptidase 3</t>
  </si>
  <si>
    <t>ENSMUSG00000064215</t>
  </si>
  <si>
    <t>Ifi27</t>
  </si>
  <si>
    <t>2.52412636602982e-42</t>
  </si>
  <si>
    <t>Interferon, alpha-inducible protein 27</t>
  </si>
  <si>
    <t>ENSMUSG00000025408</t>
  </si>
  <si>
    <t>Ddit3</t>
  </si>
  <si>
    <t>1.26526718540725e-08</t>
  </si>
  <si>
    <t>DNA-damage inducible transcript 3</t>
  </si>
  <si>
    <t>ENSMUSG00000033220</t>
  </si>
  <si>
    <t>Rac2</t>
  </si>
  <si>
    <t>3.17405451782138e-05</t>
  </si>
  <si>
    <t>Rac family small GTPase 2</t>
  </si>
  <si>
    <t>ENSMUSG00000058715</t>
  </si>
  <si>
    <t>Fcer1g</t>
  </si>
  <si>
    <t>2.4679913275438e-06</t>
  </si>
  <si>
    <t>Fc receptor, IgE, high affinity I, gamma polypeptide</t>
  </si>
  <si>
    <t>ENSMUSG00000071715</t>
  </si>
  <si>
    <t>Ncf4</t>
  </si>
  <si>
    <t>Neutrophil cytosolic factor 4</t>
  </si>
  <si>
    <t>ENSMUSG00000024338</t>
  </si>
  <si>
    <t>Psmb8</t>
  </si>
  <si>
    <t>5.869148983444e-12</t>
  </si>
  <si>
    <t>Proteasome (prosome, macropain) subunit, beta type 8 (large multifunctional peptidase 7)</t>
  </si>
  <si>
    <t>ENSMUSG00000003206</t>
  </si>
  <si>
    <t>Ebi3</t>
  </si>
  <si>
    <t>Epstein-Barr virus induced gene 3</t>
  </si>
  <si>
    <t>ENSMUSG00000029816</t>
  </si>
  <si>
    <t>Gpnmb</t>
  </si>
  <si>
    <t>Glycoprotein (transmembrane) nmb</t>
  </si>
  <si>
    <t>ENSMUSG00000096727</t>
  </si>
  <si>
    <t>Psmb9</t>
  </si>
  <si>
    <t>1.49561728851335e-08</t>
  </si>
  <si>
    <t>Proteasome (prosome, macropain) subunit, beta type 9 (large multifunctional peptidase 2)</t>
  </si>
  <si>
    <t>ENSMUSG00000031662</t>
  </si>
  <si>
    <t>Snx20</t>
  </si>
  <si>
    <t>Sorting nexin 20</t>
  </si>
  <si>
    <t>ENSMUSG00000024529</t>
  </si>
  <si>
    <t>Lox</t>
  </si>
  <si>
    <t>Lysyl oxidase</t>
  </si>
  <si>
    <t>ENSMUSG00000094777</t>
  </si>
  <si>
    <t>H2ac24</t>
  </si>
  <si>
    <t>H2A clustered histone 24</t>
  </si>
  <si>
    <t>ENSMUSG00000073490</t>
  </si>
  <si>
    <t>Ifi207</t>
  </si>
  <si>
    <t>1.39691382331447e-06</t>
  </si>
  <si>
    <t>Interferon activated gene 207</t>
  </si>
  <si>
    <t>ENSMUSG00000024737</t>
  </si>
  <si>
    <t>Slc15a3</t>
  </si>
  <si>
    <t>Solute carrier family 15, member 3</t>
  </si>
  <si>
    <t>ENSMUSG00000023349</t>
  </si>
  <si>
    <t>Clec4n</t>
  </si>
  <si>
    <t>C-type lectin domain family 4, member n</t>
  </si>
  <si>
    <t>ENSMUSG00000078921</t>
  </si>
  <si>
    <t>Tgtp2</t>
  </si>
  <si>
    <t>6.5779158272057e-05</t>
  </si>
  <si>
    <t>T cell specific GTPase 2</t>
  </si>
  <si>
    <t>ENSMUSG00000040253</t>
  </si>
  <si>
    <t>Gbp7</t>
  </si>
  <si>
    <t>2.75837726787544e-06</t>
  </si>
  <si>
    <t>Guanylate binding protein 7</t>
  </si>
  <si>
    <t>ENSMUSG00000024803</t>
  </si>
  <si>
    <t>Ankrd1</t>
  </si>
  <si>
    <t>2.28095723853309e-26</t>
  </si>
  <si>
    <t>Ankyrin repeat domain 1</t>
  </si>
  <si>
    <t>ENSMUSG00000073489</t>
  </si>
  <si>
    <t>Ifi204</t>
  </si>
  <si>
    <t>Interferon activated gene 204</t>
  </si>
  <si>
    <t>ENSMUSG00000015355</t>
  </si>
  <si>
    <t>Cd48</t>
  </si>
  <si>
    <t>CD48 antigen</t>
  </si>
  <si>
    <t>ENSMUSG00000028841</t>
  </si>
  <si>
    <t>Cnksr1</t>
  </si>
  <si>
    <t>1.34685656108947e-16</t>
  </si>
  <si>
    <t>Connector enhancer of kinase suppressor of Ras 1</t>
  </si>
  <si>
    <t>ENSMUSG00000033880</t>
  </si>
  <si>
    <t>Lgals3bp</t>
  </si>
  <si>
    <t>1.32621270213391e-10</t>
  </si>
  <si>
    <t>Lectin, galactoside-binding, soluble, 3 binding protein</t>
  </si>
  <si>
    <t>ENSMUSG00000040747</t>
  </si>
  <si>
    <t>Cd53</t>
  </si>
  <si>
    <t>CD53 antigen</t>
  </si>
  <si>
    <t>ENSMUSG00000070637</t>
  </si>
  <si>
    <t>Srarp</t>
  </si>
  <si>
    <t>Steroid receptor associated and regulated protein</t>
  </si>
  <si>
    <t>ENSMUSG00000028270</t>
  </si>
  <si>
    <t>Gbp2</t>
  </si>
  <si>
    <t>Guanylate binding protein 2</t>
  </si>
  <si>
    <t>ENSMUSG00000054203</t>
  </si>
  <si>
    <t>Ifi205</t>
  </si>
  <si>
    <t>1.72669491369289e-06</t>
  </si>
  <si>
    <t>Interferon activated gene 205</t>
  </si>
  <si>
    <t>ENSMUSG00000028337</t>
  </si>
  <si>
    <t>Coro2a</t>
  </si>
  <si>
    <t>Coronin, actin binding protein 2A</t>
  </si>
  <si>
    <t>ENSMUSG00000053113</t>
  </si>
  <si>
    <t>Socs3</t>
  </si>
  <si>
    <t>Suppressor of cytokine signaling 3</t>
  </si>
  <si>
    <t>ENSMUSG00000073409</t>
  </si>
  <si>
    <t>H2-Q6</t>
  </si>
  <si>
    <t>Histocompatibility 2, Q region locus 6</t>
  </si>
  <si>
    <t>ENSMUSG00000021451</t>
  </si>
  <si>
    <t>Sema4d</t>
  </si>
  <si>
    <t>Sema domain, immunoglobulin domain (Ig), transmembrane domain (TM) and short cytoplasmic domain, (semaphorin) 4D</t>
  </si>
  <si>
    <t>ENSMUSG00000022014</t>
  </si>
  <si>
    <t>Epsti1</t>
  </si>
  <si>
    <t>Epithelial stromal interaction 1</t>
  </si>
  <si>
    <t>ENSMUSG00000056116</t>
  </si>
  <si>
    <t>H2-T22</t>
  </si>
  <si>
    <t>2.03344506490368e-10</t>
  </si>
  <si>
    <t>Histocompatibility 2, T region locus 22</t>
  </si>
  <si>
    <t>C-C motif chemokine receptor 2</t>
  </si>
  <si>
    <t>ENSMUSG00000034116</t>
  </si>
  <si>
    <t>Vav1</t>
  </si>
  <si>
    <t>Vav 1 oncogene</t>
  </si>
  <si>
    <t>ENSMUSG00000002111</t>
  </si>
  <si>
    <t>Spi1</t>
  </si>
  <si>
    <t>1.75834840545415e-05</t>
  </si>
  <si>
    <t>Spi-1 proto-oncogene</t>
  </si>
  <si>
    <t>ENSMUSG00000053063</t>
  </si>
  <si>
    <t>Clec12a</t>
  </si>
  <si>
    <t>C-type lectin domain family 12, member a</t>
  </si>
  <si>
    <t>ENSMUSG00000037921</t>
  </si>
  <si>
    <t>Ddx60</t>
  </si>
  <si>
    <t>DExD/H box helicase 60</t>
  </si>
  <si>
    <t>ENSMUSG00000028268</t>
  </si>
  <si>
    <t>Gbp3</t>
  </si>
  <si>
    <t>2.34291697335306e-06</t>
  </si>
  <si>
    <t>Guanylate binding protein 3</t>
  </si>
  <si>
    <t>ENSMUSG00000026548</t>
  </si>
  <si>
    <t>Slamf9</t>
  </si>
  <si>
    <t>SLAM family member 9</t>
  </si>
  <si>
    <t>ENSMUSG00000053687</t>
  </si>
  <si>
    <t>Dpep2</t>
  </si>
  <si>
    <t>Dipeptidase 2</t>
  </si>
  <si>
    <t>ENSMUSG00000021750</t>
  </si>
  <si>
    <t>Fam107a</t>
  </si>
  <si>
    <t>Family with sequence similarity 107, member A</t>
  </si>
  <si>
    <t>ENSMUSG00000032322</t>
  </si>
  <si>
    <t>Pstpip1</t>
  </si>
  <si>
    <t>Proline-serine-threonine phosphatase-interacting protein 1</t>
  </si>
  <si>
    <t>ENSMUSG00000005667</t>
  </si>
  <si>
    <t>Mthfd2</t>
  </si>
  <si>
    <t>5.62775006691879e-05</t>
  </si>
  <si>
    <t>Methylenetetrahydrofolate dehydrogenase (NAD+ dependent), methenyltetrahydrofolate cyclohydrolase</t>
  </si>
  <si>
    <t>ENSMUSG00000060550</t>
  </si>
  <si>
    <t>H2-Q7</t>
  </si>
  <si>
    <t>1.10941425541993e-09</t>
  </si>
  <si>
    <t>Histocompatibility 2, Q region locus 7</t>
  </si>
  <si>
    <t>ENSMUSG00000004939</t>
  </si>
  <si>
    <t>Nmrk2</t>
  </si>
  <si>
    <t>9.56202389311918e-05</t>
  </si>
  <si>
    <t>Nicotinamide riboside kinase 2</t>
  </si>
  <si>
    <t>Interleukin 10 receptor, alpha</t>
  </si>
  <si>
    <t>ENSMUSG00000026536</t>
  </si>
  <si>
    <t>Ifi211</t>
  </si>
  <si>
    <t>Interferon activated gene 211</t>
  </si>
  <si>
    <t>ENSMUSG00000073412</t>
  </si>
  <si>
    <t>Lst1</t>
  </si>
  <si>
    <t>5.21108896576117e-05</t>
  </si>
  <si>
    <t>Leukocyte specific transcript 1</t>
  </si>
  <si>
    <t>ENSMUSG00000023913</t>
  </si>
  <si>
    <t>Pla2g7</t>
  </si>
  <si>
    <t>Phospholipase A2, group VII (platelet-activating factor acetylhydrolase, plasma)</t>
  </si>
  <si>
    <t>ENSMUSG00000074151</t>
  </si>
  <si>
    <t>Nlrc5</t>
  </si>
  <si>
    <t>NLR family, CARD domain containing 5</t>
  </si>
  <si>
    <t>ENSMUSG00000016496</t>
  </si>
  <si>
    <t>Cd274</t>
  </si>
  <si>
    <t>CD274 antigen</t>
  </si>
  <si>
    <t>ENSMUSG00000029561</t>
  </si>
  <si>
    <t>Oasl2</t>
  </si>
  <si>
    <t>2'-5' oligoadenylate synthetase-like 2</t>
  </si>
  <si>
    <t>ENSMUSG00000004730</t>
  </si>
  <si>
    <t>Adgre1</t>
  </si>
  <si>
    <t>1.62735210432388e-06</t>
  </si>
  <si>
    <t>Adhesion G protein-coupled receptor E1</t>
  </si>
  <si>
    <t>ENSMUSG00000026430</t>
  </si>
  <si>
    <t>Rassf5</t>
  </si>
  <si>
    <t>Ras association (RalGDS/AF-6) domain family member 5</t>
  </si>
  <si>
    <t>ENSMUSG00000021322</t>
  </si>
  <si>
    <t>Aoah</t>
  </si>
  <si>
    <t>Acyloxyacyl hydrolase</t>
  </si>
  <si>
    <t>ENSMUSG00000036469</t>
  </si>
  <si>
    <t>Marchf1</t>
  </si>
  <si>
    <t>Membrane associated ring-CH-type finger 1</t>
  </si>
  <si>
    <t>ENSMUSG00000055541</t>
  </si>
  <si>
    <t>Lair1</t>
  </si>
  <si>
    <t>Leukocyte-associated Ig-like receptor 1</t>
  </si>
  <si>
    <t>ENSMUSG00000052160</t>
  </si>
  <si>
    <t>Pld4</t>
  </si>
  <si>
    <t>1.14255296228714e-08</t>
  </si>
  <si>
    <t>Phospholipase D family member 4</t>
  </si>
  <si>
    <t>ENSMUSG00000030587</t>
  </si>
  <si>
    <t>2200002D01Rik</t>
  </si>
  <si>
    <t>RIKEN cDNA 2200002D01 gene</t>
  </si>
  <si>
    <t>ENSMUSG00000022868</t>
  </si>
  <si>
    <t>Ahsg</t>
  </si>
  <si>
    <t>Alpha-2-HS-glycoprotein</t>
  </si>
  <si>
    <t>ENSMUSG00000058818</t>
  </si>
  <si>
    <t>Pirb</t>
  </si>
  <si>
    <t>Paired Ig-like receptor B</t>
  </si>
  <si>
    <t>ENSMUSG00000024222</t>
  </si>
  <si>
    <t>Fkbp5</t>
  </si>
  <si>
    <t>4.13422310998542e-08</t>
  </si>
  <si>
    <t>FK506 binding protein 5</t>
  </si>
  <si>
    <t>ENSMUSG00000030707</t>
  </si>
  <si>
    <t>Coro1a</t>
  </si>
  <si>
    <t>Coronin, actin binding protein 1A</t>
  </si>
  <si>
    <t>ENSMUSG00000006731</t>
  </si>
  <si>
    <t>B4galnt1</t>
  </si>
  <si>
    <t>Beta-1,4-N-acetyl-galactosaminyl transferase 1</t>
  </si>
  <si>
    <t>C-C motif chemokine ligand 9</t>
  </si>
  <si>
    <t>ENSMUSG00000022372</t>
  </si>
  <si>
    <t>Sla</t>
  </si>
  <si>
    <t>Src-like adaptor</t>
  </si>
  <si>
    <t>ENSMUSG00000026896</t>
  </si>
  <si>
    <t>Ifih1</t>
  </si>
  <si>
    <t>1.16216511859463e-05</t>
  </si>
  <si>
    <t>Interferon induced with helicase C domain 1</t>
  </si>
  <si>
    <t>ENSMUSG00000056071</t>
  </si>
  <si>
    <t>S100a9</t>
  </si>
  <si>
    <t>S100 calcium binding protein A9 (calgranulin B)</t>
  </si>
  <si>
    <t>ENSMUSG00000056054</t>
  </si>
  <si>
    <t>S100a8</t>
  </si>
  <si>
    <t>S100 calcium binding protein A8 (calgranulin A)</t>
  </si>
  <si>
    <t>ENSMUSG00000024087</t>
  </si>
  <si>
    <t>Cyp1b1</t>
  </si>
  <si>
    <t>Cytochrome P450, family 1, subfamily b, polypeptide 1</t>
  </si>
  <si>
    <t>ENSMUSG00000034947</t>
  </si>
  <si>
    <t>Tmem106a</t>
  </si>
  <si>
    <t>Transmembrane protein 106A</t>
  </si>
  <si>
    <t>ENSMUSG00000079017</t>
  </si>
  <si>
    <t>Ifi27l2a</t>
  </si>
  <si>
    <t>Interferon, alpha-inducible protein 27 like 2A</t>
  </si>
  <si>
    <t>ENSMUSG00000008496</t>
  </si>
  <si>
    <t>Pou2f2</t>
  </si>
  <si>
    <t>POU domain, class 2, transcription factor 2</t>
  </si>
  <si>
    <t>ENSMUSG00000029321</t>
  </si>
  <si>
    <t>Slc10a6</t>
  </si>
  <si>
    <t>Solute carrier family 10 (sodium/bile acid cotransporter family), member 6</t>
  </si>
  <si>
    <t>ENSMUSG00000030579</t>
  </si>
  <si>
    <t>Tyrobp</t>
  </si>
  <si>
    <t>1.83059024809829e-06</t>
  </si>
  <si>
    <t>TYRO protein tyrosine kinase binding protein</t>
  </si>
  <si>
    <t>ENSMUSG00000079491</t>
  </si>
  <si>
    <t>H2-T10</t>
  </si>
  <si>
    <t>8.52518691822001e-06</t>
  </si>
  <si>
    <t>Histocompatibility 2, T region locus 10</t>
  </si>
  <si>
    <t>ENSMUSG00000034161</t>
  </si>
  <si>
    <t>Scx</t>
  </si>
  <si>
    <t>Scleraxis scleraxis bHLH transcription factor</t>
  </si>
  <si>
    <t>ENSMUSG00000018774</t>
  </si>
  <si>
    <t>Cd68</t>
  </si>
  <si>
    <t>CD68 antigen</t>
  </si>
  <si>
    <t>ENSMUSG00000072620</t>
  </si>
  <si>
    <t>Slfn2</t>
  </si>
  <si>
    <t>Schlafen 2</t>
  </si>
  <si>
    <t>ENSMUSG00000060802</t>
  </si>
  <si>
    <t>B2m</t>
  </si>
  <si>
    <t>2.01638160380945e-10</t>
  </si>
  <si>
    <t>Beta-2 microglobulin</t>
  </si>
  <si>
    <t>ENSMUSG00000074183</t>
  </si>
  <si>
    <t>Gsta1</t>
  </si>
  <si>
    <t>Glutathione S-transferase, alpha 1 (Ya)</t>
  </si>
  <si>
    <t>ENSMUSG00000060187</t>
  </si>
  <si>
    <t>Lrrc10</t>
  </si>
  <si>
    <t>8.25477571900784e-16</t>
  </si>
  <si>
    <t>Leucine rich repeat containing 10</t>
  </si>
  <si>
    <t>ENSMUSG00000094248</t>
  </si>
  <si>
    <t>H2ac23</t>
  </si>
  <si>
    <t>H2A clustered histone 23</t>
  </si>
  <si>
    <t>ENSMUSG00000020638</t>
  </si>
  <si>
    <t>Cmpk2</t>
  </si>
  <si>
    <t>Cytidine/uridine monophosphate kinase 2</t>
  </si>
  <si>
    <t>ENSMUSG00000064109</t>
  </si>
  <si>
    <t>Hcst</t>
  </si>
  <si>
    <t>Hematopoietic cell signal transducer</t>
  </si>
  <si>
    <t>ENSMUSG00000029605</t>
  </si>
  <si>
    <t>Oas1b</t>
  </si>
  <si>
    <t>2'-5' oligoadenylate synthetase 1B</t>
  </si>
  <si>
    <t>ENSMUSG00000005413</t>
  </si>
  <si>
    <t>Hmox1</t>
  </si>
  <si>
    <t>2.75846092381308e-06</t>
  </si>
  <si>
    <t>Heme oxygenase 1</t>
  </si>
  <si>
    <t>ENSMUSG00000024352</t>
  </si>
  <si>
    <t>Spata24</t>
  </si>
  <si>
    <t>2.70885863359785e-05</t>
  </si>
  <si>
    <t>Spermatogenesis associated 24</t>
  </si>
  <si>
    <t>ENSMUSG00000004266</t>
  </si>
  <si>
    <t>Ptpn6</t>
  </si>
  <si>
    <t>Protein tyrosine phosphatase, non-receptor type 6</t>
  </si>
  <si>
    <t>ENSMUSG00000057596</t>
  </si>
  <si>
    <t>Trim30d</t>
  </si>
  <si>
    <t>Tripartite motif-containing 30D</t>
  </si>
  <si>
    <t>ENSMUSG00000018899</t>
  </si>
  <si>
    <t>Irf1</t>
  </si>
  <si>
    <t>Interferon regulatory factor 1</t>
  </si>
  <si>
    <t>ENSMUSG00000063268</t>
  </si>
  <si>
    <t>Parp10</t>
  </si>
  <si>
    <t>7.92360152509857e-05</t>
  </si>
  <si>
    <t>Poly (ADP-ribose) polymerase family, member 10</t>
  </si>
  <si>
    <t>ENSMUSG00000036905</t>
  </si>
  <si>
    <t>C1qb</t>
  </si>
  <si>
    <t>5.18082787375423e-10</t>
  </si>
  <si>
    <t>Complement component 1, q subcomponent, beta polypeptide</t>
  </si>
  <si>
    <t>ENSMUSG00000069515</t>
  </si>
  <si>
    <t>Lyz1</t>
  </si>
  <si>
    <t>4.72568815146451e-05</t>
  </si>
  <si>
    <t>Lysozyme 1</t>
  </si>
  <si>
    <t>ENSMUSG00000024831</t>
  </si>
  <si>
    <t>Ighmbp2</t>
  </si>
  <si>
    <t>Immunoglobulin mu DNA binding protein 2</t>
  </si>
  <si>
    <t>ENSMUSG00000013707</t>
  </si>
  <si>
    <t>Tnfaip8l2</t>
  </si>
  <si>
    <t>Tumor necrosis factor, alpha-induced protein 8-like 2</t>
  </si>
  <si>
    <t>ENSMUSG00000025044</t>
  </si>
  <si>
    <t>Msr1</t>
  </si>
  <si>
    <t>Macrophage scavenger receptor 1</t>
  </si>
  <si>
    <t>ENSMUSG00000020437</t>
  </si>
  <si>
    <t>Myo1g</t>
  </si>
  <si>
    <t>Myosin IG</t>
  </si>
  <si>
    <t>ENSMUSG00000037731</t>
  </si>
  <si>
    <t>Themis2</t>
  </si>
  <si>
    <t>Thymocyte selection associated family member 2</t>
  </si>
  <si>
    <t>ENSMUSG00000040428</t>
  </si>
  <si>
    <t>Plekha4</t>
  </si>
  <si>
    <t>Pleckstrin homology domain containing, family A (phosphoinositide binding specific) member 4</t>
  </si>
  <si>
    <t>ENSMUSG00000058297</t>
  </si>
  <si>
    <t>Spock2</t>
  </si>
  <si>
    <t>Sparc/osteonectin, cwcv and kazal-like domains proteoglycan 2</t>
  </si>
  <si>
    <t>ENSMUSG00000027995</t>
  </si>
  <si>
    <t>Tlr2</t>
  </si>
  <si>
    <t>Toll-like receptor 2</t>
  </si>
  <si>
    <t>ENSMUSG00000031765</t>
  </si>
  <si>
    <t>Mt1</t>
  </si>
  <si>
    <t>6.33467612787331e-14</t>
  </si>
  <si>
    <t>Metallothionein 1</t>
  </si>
  <si>
    <t>ENSMUSG00000063445</t>
  </si>
  <si>
    <t>Nmral1</t>
  </si>
  <si>
    <t>NmrA-like family domain containing 1</t>
  </si>
  <si>
    <t>ENSMUSG00000026946</t>
  </si>
  <si>
    <t>Nmi</t>
  </si>
  <si>
    <t>2.6220445932735e-07</t>
  </si>
  <si>
    <t>N-myc (and STAT) interactor</t>
  </si>
  <si>
    <t>ENSMUSG00000070427</t>
  </si>
  <si>
    <t>Il18bp</t>
  </si>
  <si>
    <t>6.46506921952278e-05</t>
  </si>
  <si>
    <t>Interleukin 18 binding protein</t>
  </si>
  <si>
    <t>ENSMUSG00000036887</t>
  </si>
  <si>
    <t>C1qa</t>
  </si>
  <si>
    <t>2.97530963615523e-12</t>
  </si>
  <si>
    <t>Complement component 1, q subcomponent, alpha polypeptide</t>
  </si>
  <si>
    <t>C-C motif chemokine ligand 6</t>
  </si>
  <si>
    <t>ENSMUSG00000073411</t>
  </si>
  <si>
    <t>H2-D1</t>
  </si>
  <si>
    <t>1.79719363653941e-06</t>
  </si>
  <si>
    <t>Histocompatibility 2, D region locus 1</t>
  </si>
  <si>
    <t>ENSMUSG00000041782</t>
  </si>
  <si>
    <t>Lad1</t>
  </si>
  <si>
    <t>Ladinin</t>
  </si>
  <si>
    <t>ENSMUSG00000001128</t>
  </si>
  <si>
    <t>Cfp</t>
  </si>
  <si>
    <t>Complement factor properdin</t>
  </si>
  <si>
    <t>ENSMUSG00000031838</t>
  </si>
  <si>
    <t>Ifi30</t>
  </si>
  <si>
    <t>Interferon gamma inducible protein 30</t>
  </si>
  <si>
    <t>C-X-C motif chemokine ligand 9</t>
  </si>
  <si>
    <t>ENSMUSG00000010358</t>
  </si>
  <si>
    <t>Ifi35</t>
  </si>
  <si>
    <t>8.73945678322464e-07</t>
  </si>
  <si>
    <t>Interferon-induced protein 35</t>
  </si>
  <si>
    <t>ENSMUSG00000016206</t>
  </si>
  <si>
    <t>H2-M3</t>
  </si>
  <si>
    <t>Histocompatibility 2, M region locus 3</t>
  </si>
  <si>
    <t>ENSMUSG00000030966</t>
  </si>
  <si>
    <t>Trim21</t>
  </si>
  <si>
    <t>Tripartite motif-containing 21</t>
  </si>
  <si>
    <t>ENSMUSG00000079363</t>
  </si>
  <si>
    <t>Gbp4</t>
  </si>
  <si>
    <t>Guanylate binding protein 4</t>
  </si>
  <si>
    <t>ENSMUSG00000028542</t>
  </si>
  <si>
    <t>Slc6a9</t>
  </si>
  <si>
    <t>Solute carrier family 6 (neurotransmitter transporter, glycine), member 9</t>
  </si>
  <si>
    <t>ENSMUSG00000024640</t>
  </si>
  <si>
    <t>Psat1</t>
  </si>
  <si>
    <t>Phosphoserine aminotransferase 1</t>
  </si>
  <si>
    <t>ENSMUSG00000025491</t>
  </si>
  <si>
    <t>Ifitm1</t>
  </si>
  <si>
    <t>Interferon induced transmembrane protein 1</t>
  </si>
  <si>
    <t>ENSMUSG00000043953</t>
  </si>
  <si>
    <t>Ccrl2</t>
  </si>
  <si>
    <t>C-C motif chemokine receptor-like 2</t>
  </si>
  <si>
    <t>ENSMUSG00000038085</t>
  </si>
  <si>
    <t>Cnbd2</t>
  </si>
  <si>
    <t>Cyclic nucleotide binding domain containing 2</t>
  </si>
  <si>
    <t>ENSMUSG00000030921</t>
  </si>
  <si>
    <t>Trim30a</t>
  </si>
  <si>
    <t>Tripartite motif-containing 30A</t>
  </si>
  <si>
    <t>ENSMUSG00000031897</t>
  </si>
  <si>
    <t>Psmb10</t>
  </si>
  <si>
    <t>1.39092725499209e-10</t>
  </si>
  <si>
    <t>Proteasome (prosome, macropain) subunit, beta type 10</t>
  </si>
  <si>
    <t>ENSMUSG00000025887</t>
  </si>
  <si>
    <t>Casp12</t>
  </si>
  <si>
    <t>Caspase 12</t>
  </si>
  <si>
    <t>ENSMUSG00000026558</t>
  </si>
  <si>
    <t>Uck2</t>
  </si>
  <si>
    <t>1.7392403852738e-07</t>
  </si>
  <si>
    <t>Uridine-cytidine kinase 2</t>
  </si>
  <si>
    <t>ENSMUSG00000020227</t>
  </si>
  <si>
    <t>Irak3</t>
  </si>
  <si>
    <t>Interleukin-1 receptor-associated kinase 3</t>
  </si>
  <si>
    <t>ENSMUSG00000021418</t>
  </si>
  <si>
    <t>Rpp40</t>
  </si>
  <si>
    <t>Ribonuclease P 40 subunit</t>
  </si>
  <si>
    <t>ENSMUSG00000040296</t>
  </si>
  <si>
    <t>Rigi</t>
  </si>
  <si>
    <t>RNA sensor RIG-I</t>
  </si>
  <si>
    <t>ENSMUSG00000022488</t>
  </si>
  <si>
    <t>Nckap1l</t>
  </si>
  <si>
    <t>NCK associated protein 1 like</t>
  </si>
  <si>
    <t>ENSMUSG00000019997</t>
  </si>
  <si>
    <t>Ccn2</t>
  </si>
  <si>
    <t>1.77133289871837e-06</t>
  </si>
  <si>
    <t>Cellular communication network factor 2</t>
  </si>
  <si>
    <t>ENSMUSG00000026656</t>
  </si>
  <si>
    <t>Fcgr2b</t>
  </si>
  <si>
    <t>Fc receptor, IgG, low affinity IIb</t>
  </si>
  <si>
    <t>ENSMUSG00000038843</t>
  </si>
  <si>
    <t>Gcnt1</t>
  </si>
  <si>
    <t>Glucosaminyl (N-acetyl) transferase 1, core 2</t>
  </si>
  <si>
    <t>ENSMUSG00000070034</t>
  </si>
  <si>
    <t>Sp110</t>
  </si>
  <si>
    <t>Sp110 nuclear body protein</t>
  </si>
  <si>
    <t>ENSMUSG00000018920</t>
  </si>
  <si>
    <t>Cxcl16</t>
  </si>
  <si>
    <t>C-X-C motif chemokine ligand 16</t>
  </si>
  <si>
    <t>ENSMUSG00000055760</t>
  </si>
  <si>
    <t>Gemin6</t>
  </si>
  <si>
    <t>Gem nuclear organelle associated protein 6</t>
  </si>
  <si>
    <t>ENSMUSG00000056144</t>
  </si>
  <si>
    <t>Trim34a</t>
  </si>
  <si>
    <t>Tripartite motif-containing 34A</t>
  </si>
  <si>
    <t>ENSMUSG00000034422</t>
  </si>
  <si>
    <t>Parp14</t>
  </si>
  <si>
    <t>Poly (ADP-ribose) polymerase family, member 14</t>
  </si>
  <si>
    <t>ENSMUSG00000031827</t>
  </si>
  <si>
    <t>Cotl1</t>
  </si>
  <si>
    <t>Coactosin like F-actin binding protein 1</t>
  </si>
  <si>
    <t>ENSMUSG00000004626</t>
  </si>
  <si>
    <t>Stxbp2</t>
  </si>
  <si>
    <t>Syntaxin binding protein 2</t>
  </si>
  <si>
    <t>ENSMUSG00000098470</t>
  </si>
  <si>
    <t>C1rb</t>
  </si>
  <si>
    <t>Complement component 1, r subcomponent B</t>
  </si>
  <si>
    <t>ENSMUSG00000022906</t>
  </si>
  <si>
    <t>Parp9</t>
  </si>
  <si>
    <t>Poly (ADP-ribose) polymerase family, member 9</t>
  </si>
  <si>
    <t>ENSMUSG00000032596</t>
  </si>
  <si>
    <t>Uba7</t>
  </si>
  <si>
    <t>Ubiquitin-like modifier activating enzyme 7</t>
  </si>
  <si>
    <t>ENSMUSG00000056737</t>
  </si>
  <si>
    <t>Capg</t>
  </si>
  <si>
    <t>Capping actin protein, gelsolin like</t>
  </si>
  <si>
    <t>ENSMUSG00000026177</t>
  </si>
  <si>
    <t>Slc11a1</t>
  </si>
  <si>
    <t>Solute carrier family 11 (proton-coupled divalent metal ion transporters), member 1</t>
  </si>
  <si>
    <t>ENSMUSG00000069792</t>
  </si>
  <si>
    <t>Wfdc17</t>
  </si>
  <si>
    <t>WAP four-disulfide core domain 17</t>
  </si>
  <si>
    <t>ENSMUSG00000029570</t>
  </si>
  <si>
    <t>Lfng</t>
  </si>
  <si>
    <t>LFNG O-fucosylpeptide 3-beta-N-acetylglucosaminyltransferase</t>
  </si>
  <si>
    <t>ENSMUSG00000021998</t>
  </si>
  <si>
    <t>Lcp1</t>
  </si>
  <si>
    <t>Lymphocyte cytosolic protein 1</t>
  </si>
  <si>
    <t>ENSMUSG00000059498</t>
  </si>
  <si>
    <t>Fcgr3</t>
  </si>
  <si>
    <t>Fc receptor, IgG, low affinity III</t>
  </si>
  <si>
    <t>ENSMUSG00000031490</t>
  </si>
  <si>
    <t>Eif4ebp1</t>
  </si>
  <si>
    <t>1.80915696860594e-24</t>
  </si>
  <si>
    <t>Eukaryotic translation initiation factor 4E binding protein 1</t>
  </si>
  <si>
    <t>ENSMUSG00000040659</t>
  </si>
  <si>
    <t>Efhd2</t>
  </si>
  <si>
    <t>1.66426073541214e-08</t>
  </si>
  <si>
    <t>EF hand domain containing 2</t>
  </si>
  <si>
    <t>ENSMUSG00000016194</t>
  </si>
  <si>
    <t>Hsd11b1</t>
  </si>
  <si>
    <t>3.40809086995388e-07</t>
  </si>
  <si>
    <t>Hydroxysteroid 11-beta dehydrogenase 1</t>
  </si>
  <si>
    <t>ENSMUSG00000049502</t>
  </si>
  <si>
    <t>Dtx3l</t>
  </si>
  <si>
    <t>Deltex 3-like, E3 ubiquitin ligase</t>
  </si>
  <si>
    <t>ENSMUSG00000022831</t>
  </si>
  <si>
    <t>Hcls1</t>
  </si>
  <si>
    <t>Hematopoietic cell specific Lyn substrate 1</t>
  </si>
  <si>
    <t>ENSMUSG00000041515</t>
  </si>
  <si>
    <t>Irf8</t>
  </si>
  <si>
    <t>Interferon regulatory factor 8</t>
  </si>
  <si>
    <t>ENSMUSG00000036896</t>
  </si>
  <si>
    <t>C1qc</t>
  </si>
  <si>
    <t>4.32338213633357e-05</t>
  </si>
  <si>
    <t>Complement component 1, q subcomponent, C chain</t>
  </si>
  <si>
    <t>ENSMUSG00000039005</t>
  </si>
  <si>
    <t>Tlr4</t>
  </si>
  <si>
    <t>Toll-like receptor 4</t>
  </si>
  <si>
    <t>ENSMUSG00000024013</t>
  </si>
  <si>
    <t>Fgd2</t>
  </si>
  <si>
    <t>FYVE, RhoGEF and PH domain containing 2</t>
  </si>
  <si>
    <t>ENSMUSG00000049130</t>
  </si>
  <si>
    <t>C5ar1</t>
  </si>
  <si>
    <t>Complement component 5a receptor 1</t>
  </si>
  <si>
    <t>ENSMUSG00000071637</t>
  </si>
  <si>
    <t>Cebpd</t>
  </si>
  <si>
    <t>6.33103734461195e-05</t>
  </si>
  <si>
    <t>CCAAT/enhancer binding protein delta</t>
  </si>
  <si>
    <t>ENSMUSG00000105504</t>
  </si>
  <si>
    <t>Gbp5</t>
  </si>
  <si>
    <t>Guanylate binding protein 5</t>
  </si>
  <si>
    <t>ENSMUSG00000038507</t>
  </si>
  <si>
    <t>Parp12</t>
  </si>
  <si>
    <t>Poly (ADP-ribose) polymerase family, member 12</t>
  </si>
  <si>
    <t>ENSMUSG00000037095</t>
  </si>
  <si>
    <t>Lrg1</t>
  </si>
  <si>
    <t>Leucine-rich alpha-2-glycoprotein 1</t>
  </si>
  <si>
    <t>ENSMUSG00000021871</t>
  </si>
  <si>
    <t>Gm49342</t>
  </si>
  <si>
    <t>Predicted gene, 49342</t>
  </si>
  <si>
    <t>ENSMUSG00000003477</t>
  </si>
  <si>
    <t>Inmt</t>
  </si>
  <si>
    <t>Indolethylamine N-methyltransferase</t>
  </si>
  <si>
    <t>ENSMUSG00000026088</t>
  </si>
  <si>
    <t>Mitd1</t>
  </si>
  <si>
    <t>MIT, microtubule interacting and transport, domain containing 1</t>
  </si>
  <si>
    <t>ENSMUSG00000049882</t>
  </si>
  <si>
    <t>Vcpkmt</t>
  </si>
  <si>
    <t>Valosin containing protein lysine (K) methyltransferase</t>
  </si>
  <si>
    <t>Adj P</t>
  </si>
  <si>
    <t>Log2FC</t>
  </si>
  <si>
    <t>Gene.Symbol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</si>
</sst>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4F7FC-67EF-4E86-96B0-409F771A47E7}">
  <dimension ref="A1:F303"/>
  <sheetViews>
    <sheetView workbookViewId="0">
      <selection activeCell="J11" sqref="J11"/>
    </sheetView>
  </sheetViews>
  <sheetFormatPr defaultRowHeight="14.4" x14ac:dyDescent="0.3"/>
  <cols>
    <col min="1" max="1" width="22.77734375" customWidth="1"/>
    <col min="3" max="3" width="13.88671875" customWidth="1"/>
    <col min="4" max="4" width="35.44140625" customWidth="1"/>
    <col min="5" max="5" width="21.88671875" customWidth="1"/>
    <col min="6" max="6" width="53.77734375" customWidth="1"/>
  </cols>
  <sheetData>
    <row r="1" spans="1:6" x14ac:dyDescent="0.3">
      <c r="A1" t="s">
        <v>158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</row>
    <row r="2" spans="1:6" x14ac:dyDescent="0.3">
      <c r="A2" t="s">
        <v>15</v>
      </c>
      <c r="B2" t="s">
        <v>14</v>
      </c>
      <c r="C2">
        <v>20302</v>
      </c>
      <c r="D2">
        <v>3.7448662497295802</v>
      </c>
      <c r="E2">
        <v>9.7171378856925998E-3</v>
      </c>
      <c r="F2" t="s">
        <v>164</v>
      </c>
    </row>
    <row r="3" spans="1:6" x14ac:dyDescent="0.3">
      <c r="A3" t="s">
        <v>165</v>
      </c>
      <c r="B3" t="s">
        <v>166</v>
      </c>
      <c r="C3">
        <v>238393</v>
      </c>
      <c r="D3">
        <v>3.6868652272123801</v>
      </c>
      <c r="E3">
        <v>2.50656563465436E-3</v>
      </c>
      <c r="F3" t="s">
        <v>167</v>
      </c>
    </row>
    <row r="4" spans="1:6" x14ac:dyDescent="0.3">
      <c r="A4" t="s">
        <v>168</v>
      </c>
      <c r="B4" t="s">
        <v>169</v>
      </c>
      <c r="C4">
        <v>20555</v>
      </c>
      <c r="D4">
        <v>3.5613856078488801</v>
      </c>
      <c r="E4" s="1" t="s">
        <v>170</v>
      </c>
      <c r="F4" t="s">
        <v>171</v>
      </c>
    </row>
    <row r="5" spans="1:6" x14ac:dyDescent="0.3">
      <c r="A5" t="s">
        <v>172</v>
      </c>
      <c r="B5" t="s">
        <v>173</v>
      </c>
      <c r="C5">
        <v>14939</v>
      </c>
      <c r="D5">
        <v>3.4281127663074198</v>
      </c>
      <c r="E5">
        <v>3.6202991826269899E-4</v>
      </c>
      <c r="F5" t="s">
        <v>174</v>
      </c>
    </row>
    <row r="6" spans="1:6" x14ac:dyDescent="0.3">
      <c r="A6" t="s">
        <v>175</v>
      </c>
      <c r="B6" t="s">
        <v>176</v>
      </c>
      <c r="C6">
        <v>17474</v>
      </c>
      <c r="D6">
        <v>3.4250624099782701</v>
      </c>
      <c r="E6">
        <v>5.0974085474094401E-3</v>
      </c>
      <c r="F6" t="s">
        <v>177</v>
      </c>
    </row>
    <row r="7" spans="1:6" x14ac:dyDescent="0.3">
      <c r="A7" t="s">
        <v>178</v>
      </c>
      <c r="B7" t="s">
        <v>179</v>
      </c>
      <c r="C7">
        <v>58203</v>
      </c>
      <c r="D7">
        <v>3.3535474822139801</v>
      </c>
      <c r="E7" s="1" t="s">
        <v>180</v>
      </c>
      <c r="F7" t="s">
        <v>181</v>
      </c>
    </row>
    <row r="8" spans="1:6" x14ac:dyDescent="0.3">
      <c r="A8" t="s">
        <v>182</v>
      </c>
      <c r="B8" t="s">
        <v>183</v>
      </c>
      <c r="C8">
        <v>20753</v>
      </c>
      <c r="D8">
        <v>3.3341992901144102</v>
      </c>
      <c r="E8">
        <v>1.2583348166450499E-4</v>
      </c>
      <c r="F8" t="s">
        <v>184</v>
      </c>
    </row>
    <row r="9" spans="1:6" x14ac:dyDescent="0.3">
      <c r="A9" t="s">
        <v>185</v>
      </c>
      <c r="B9" t="s">
        <v>186</v>
      </c>
      <c r="C9">
        <v>327957</v>
      </c>
      <c r="D9">
        <v>3.3231751968679499</v>
      </c>
      <c r="E9">
        <v>5.0188059523628204E-4</v>
      </c>
      <c r="F9" t="s">
        <v>187</v>
      </c>
    </row>
    <row r="10" spans="1:6" x14ac:dyDescent="0.3">
      <c r="A10" t="s">
        <v>188</v>
      </c>
      <c r="B10" t="s">
        <v>189</v>
      </c>
      <c r="C10">
        <v>20715</v>
      </c>
      <c r="D10">
        <v>3.2720188319095902</v>
      </c>
      <c r="E10" s="1" t="s">
        <v>190</v>
      </c>
      <c r="F10" t="s">
        <v>191</v>
      </c>
    </row>
    <row r="11" spans="1:6" x14ac:dyDescent="0.3">
      <c r="A11" t="s">
        <v>192</v>
      </c>
      <c r="B11" t="s">
        <v>193</v>
      </c>
      <c r="C11">
        <v>14938</v>
      </c>
      <c r="D11">
        <v>3.2398345912447901</v>
      </c>
      <c r="E11" s="1" t="s">
        <v>194</v>
      </c>
      <c r="F11" t="s">
        <v>195</v>
      </c>
    </row>
    <row r="12" spans="1:6" x14ac:dyDescent="0.3">
      <c r="A12" t="s">
        <v>105</v>
      </c>
      <c r="B12" t="s">
        <v>104</v>
      </c>
      <c r="C12">
        <v>20304</v>
      </c>
      <c r="D12">
        <v>3.1679378080354499</v>
      </c>
      <c r="E12" s="1" t="s">
        <v>196</v>
      </c>
      <c r="F12" t="s">
        <v>197</v>
      </c>
    </row>
    <row r="13" spans="1:6" x14ac:dyDescent="0.3">
      <c r="A13" t="s">
        <v>198</v>
      </c>
      <c r="B13" t="s">
        <v>199</v>
      </c>
      <c r="C13">
        <v>71898</v>
      </c>
      <c r="D13">
        <v>3.1537626238985799</v>
      </c>
      <c r="E13" s="1" t="s">
        <v>200</v>
      </c>
      <c r="F13" t="s">
        <v>201</v>
      </c>
    </row>
    <row r="14" spans="1:6" x14ac:dyDescent="0.3">
      <c r="A14" t="s">
        <v>202</v>
      </c>
      <c r="B14" t="s">
        <v>203</v>
      </c>
      <c r="C14">
        <v>16181</v>
      </c>
      <c r="D14">
        <v>3.0863542816348302</v>
      </c>
      <c r="E14">
        <v>4.0248573840493997E-3</v>
      </c>
      <c r="F14" t="s">
        <v>204</v>
      </c>
    </row>
    <row r="15" spans="1:6" x14ac:dyDescent="0.3">
      <c r="A15" t="s">
        <v>205</v>
      </c>
      <c r="B15" t="s">
        <v>206</v>
      </c>
      <c r="C15">
        <v>231507</v>
      </c>
      <c r="D15">
        <v>3.0643523011353802</v>
      </c>
      <c r="E15" s="1" t="s">
        <v>207</v>
      </c>
      <c r="F15" t="s">
        <v>208</v>
      </c>
    </row>
    <row r="16" spans="1:6" x14ac:dyDescent="0.3">
      <c r="A16" t="s">
        <v>209</v>
      </c>
      <c r="B16" t="s">
        <v>210</v>
      </c>
      <c r="C16">
        <v>16819</v>
      </c>
      <c r="D16">
        <v>3.0530542158112999</v>
      </c>
      <c r="E16" s="1" t="s">
        <v>211</v>
      </c>
      <c r="F16" t="s">
        <v>212</v>
      </c>
    </row>
    <row r="17" spans="1:6" x14ac:dyDescent="0.3">
      <c r="A17" t="s">
        <v>213</v>
      </c>
      <c r="B17" t="s">
        <v>214</v>
      </c>
      <c r="C17">
        <v>225594</v>
      </c>
      <c r="D17">
        <v>3.0455927110344199</v>
      </c>
      <c r="E17" s="1" t="s">
        <v>215</v>
      </c>
      <c r="F17" t="s">
        <v>216</v>
      </c>
    </row>
    <row r="18" spans="1:6" x14ac:dyDescent="0.3">
      <c r="A18" t="s">
        <v>217</v>
      </c>
      <c r="B18" t="s">
        <v>218</v>
      </c>
      <c r="C18" t="s">
        <v>219</v>
      </c>
      <c r="D18">
        <v>3.0331751569660099</v>
      </c>
      <c r="E18">
        <v>1.92940598861307E-3</v>
      </c>
      <c r="F18" t="s">
        <v>220</v>
      </c>
    </row>
    <row r="19" spans="1:6" x14ac:dyDescent="0.3">
      <c r="A19" t="s">
        <v>221</v>
      </c>
      <c r="B19" t="s">
        <v>222</v>
      </c>
      <c r="C19">
        <v>72310</v>
      </c>
      <c r="D19">
        <v>3.0200716481957</v>
      </c>
      <c r="E19" s="1" t="s">
        <v>223</v>
      </c>
      <c r="F19" t="s">
        <v>224</v>
      </c>
    </row>
    <row r="20" spans="1:6" x14ac:dyDescent="0.3">
      <c r="A20" t="s">
        <v>23</v>
      </c>
      <c r="B20" t="s">
        <v>22</v>
      </c>
      <c r="C20">
        <v>20307</v>
      </c>
      <c r="D20">
        <v>3.0198379757418499</v>
      </c>
      <c r="E20" s="1" t="s">
        <v>225</v>
      </c>
      <c r="F20" t="s">
        <v>226</v>
      </c>
    </row>
    <row r="21" spans="1:6" x14ac:dyDescent="0.3">
      <c r="A21" t="s">
        <v>227</v>
      </c>
      <c r="B21" t="s">
        <v>228</v>
      </c>
      <c r="C21">
        <v>102639543</v>
      </c>
      <c r="D21">
        <v>3.0029768122534102</v>
      </c>
      <c r="E21">
        <v>1.55373692144491E-3</v>
      </c>
      <c r="F21" t="s">
        <v>229</v>
      </c>
    </row>
    <row r="22" spans="1:6" x14ac:dyDescent="0.3">
      <c r="A22" t="s">
        <v>230</v>
      </c>
      <c r="B22" t="s">
        <v>231</v>
      </c>
      <c r="C22">
        <v>15959</v>
      </c>
      <c r="D22">
        <v>2.9977111301459298</v>
      </c>
      <c r="E22" s="1" t="s">
        <v>232</v>
      </c>
      <c r="F22" t="s">
        <v>233</v>
      </c>
    </row>
    <row r="23" spans="1:6" x14ac:dyDescent="0.3">
      <c r="A23" t="s">
        <v>234</v>
      </c>
      <c r="B23" t="s">
        <v>235</v>
      </c>
      <c r="C23">
        <v>240328</v>
      </c>
      <c r="D23">
        <v>2.9837174956683401</v>
      </c>
      <c r="E23" s="1" t="s">
        <v>236</v>
      </c>
      <c r="F23" t="s">
        <v>237</v>
      </c>
    </row>
    <row r="24" spans="1:6" x14ac:dyDescent="0.3">
      <c r="A24" t="s">
        <v>107</v>
      </c>
      <c r="B24" t="s">
        <v>106</v>
      </c>
      <c r="C24">
        <v>20293</v>
      </c>
      <c r="D24">
        <v>2.9612145157512999</v>
      </c>
      <c r="E24" s="1" t="s">
        <v>238</v>
      </c>
      <c r="F24" t="s">
        <v>239</v>
      </c>
    </row>
    <row r="25" spans="1:6" x14ac:dyDescent="0.3">
      <c r="A25" t="s">
        <v>240</v>
      </c>
      <c r="B25" t="s">
        <v>241</v>
      </c>
      <c r="C25">
        <v>12642</v>
      </c>
      <c r="D25">
        <v>2.95605347785227</v>
      </c>
      <c r="E25">
        <v>2.0065938585335698E-3</v>
      </c>
      <c r="F25" t="s">
        <v>242</v>
      </c>
    </row>
    <row r="26" spans="1:6" x14ac:dyDescent="0.3">
      <c r="A26" t="s">
        <v>243</v>
      </c>
      <c r="B26" t="s">
        <v>244</v>
      </c>
      <c r="C26">
        <v>12655</v>
      </c>
      <c r="D26">
        <v>2.9541303936271999</v>
      </c>
      <c r="E26">
        <v>6.2990577704321595E-4</v>
      </c>
      <c r="F26" t="s">
        <v>245</v>
      </c>
    </row>
    <row r="27" spans="1:6" x14ac:dyDescent="0.3">
      <c r="A27" t="s">
        <v>246</v>
      </c>
      <c r="B27" t="s">
        <v>247</v>
      </c>
      <c r="C27">
        <v>231655</v>
      </c>
      <c r="D27">
        <v>2.9423565397710201</v>
      </c>
      <c r="E27" s="1" t="s">
        <v>248</v>
      </c>
      <c r="F27" t="s">
        <v>249</v>
      </c>
    </row>
    <row r="28" spans="1:6" x14ac:dyDescent="0.3">
      <c r="A28" t="s">
        <v>250</v>
      </c>
      <c r="B28" t="s">
        <v>251</v>
      </c>
      <c r="C28">
        <v>246727</v>
      </c>
      <c r="D28">
        <v>2.9405616072758201</v>
      </c>
      <c r="E28" s="1" t="s">
        <v>252</v>
      </c>
      <c r="F28" t="s">
        <v>253</v>
      </c>
    </row>
    <row r="29" spans="1:6" x14ac:dyDescent="0.3">
      <c r="A29" t="s">
        <v>254</v>
      </c>
      <c r="B29" t="s">
        <v>255</v>
      </c>
      <c r="C29">
        <v>16854</v>
      </c>
      <c r="D29">
        <v>2.8986378478793799</v>
      </c>
      <c r="E29" s="1" t="s">
        <v>256</v>
      </c>
      <c r="F29" t="s">
        <v>257</v>
      </c>
    </row>
    <row r="30" spans="1:6" x14ac:dyDescent="0.3">
      <c r="A30" t="s">
        <v>258</v>
      </c>
      <c r="B30" t="s">
        <v>259</v>
      </c>
      <c r="C30">
        <v>223672</v>
      </c>
      <c r="D30">
        <v>2.8892022818486698</v>
      </c>
      <c r="E30" s="1" t="s">
        <v>260</v>
      </c>
      <c r="F30" t="s">
        <v>261</v>
      </c>
    </row>
    <row r="31" spans="1:6" x14ac:dyDescent="0.3">
      <c r="A31" t="s">
        <v>262</v>
      </c>
      <c r="B31" t="s">
        <v>263</v>
      </c>
      <c r="C31">
        <v>57248</v>
      </c>
      <c r="D31">
        <v>2.8819552988419002</v>
      </c>
      <c r="E31">
        <v>1.7169172628018099E-2</v>
      </c>
      <c r="F31" t="s">
        <v>264</v>
      </c>
    </row>
    <row r="32" spans="1:6" x14ac:dyDescent="0.3">
      <c r="A32" t="s">
        <v>265</v>
      </c>
      <c r="B32" t="s">
        <v>266</v>
      </c>
      <c r="C32">
        <v>17059</v>
      </c>
      <c r="D32">
        <v>2.85695755667206</v>
      </c>
      <c r="E32">
        <v>1.20936397541928E-2</v>
      </c>
      <c r="F32" t="s">
        <v>267</v>
      </c>
    </row>
    <row r="33" spans="1:6" x14ac:dyDescent="0.3">
      <c r="A33" t="s">
        <v>268</v>
      </c>
      <c r="B33" t="s">
        <v>269</v>
      </c>
      <c r="C33">
        <v>236312</v>
      </c>
      <c r="D33">
        <v>2.8563322558542801</v>
      </c>
      <c r="E33" s="1" t="s">
        <v>270</v>
      </c>
      <c r="F33" t="s">
        <v>271</v>
      </c>
    </row>
    <row r="34" spans="1:6" x14ac:dyDescent="0.3">
      <c r="A34" t="s">
        <v>272</v>
      </c>
      <c r="B34" t="s">
        <v>273</v>
      </c>
      <c r="C34">
        <v>21857</v>
      </c>
      <c r="D34">
        <v>2.8245210613206102</v>
      </c>
      <c r="E34">
        <v>4.2758869595956999E-4</v>
      </c>
      <c r="F34" t="s">
        <v>274</v>
      </c>
    </row>
    <row r="35" spans="1:6" x14ac:dyDescent="0.3">
      <c r="A35" t="s">
        <v>275</v>
      </c>
      <c r="B35" t="s">
        <v>276</v>
      </c>
      <c r="C35">
        <v>625018</v>
      </c>
      <c r="D35">
        <v>2.8148523255349001</v>
      </c>
      <c r="E35" s="1" t="s">
        <v>277</v>
      </c>
      <c r="F35" t="s">
        <v>278</v>
      </c>
    </row>
    <row r="36" spans="1:6" x14ac:dyDescent="0.3">
      <c r="A36" t="s">
        <v>279</v>
      </c>
      <c r="B36" t="s">
        <v>280</v>
      </c>
      <c r="C36">
        <v>236451</v>
      </c>
      <c r="D36">
        <v>2.7996320736024201</v>
      </c>
      <c r="E36" s="1" t="s">
        <v>281</v>
      </c>
      <c r="F36" t="s">
        <v>282</v>
      </c>
    </row>
    <row r="37" spans="1:6" x14ac:dyDescent="0.3">
      <c r="A37" t="s">
        <v>283</v>
      </c>
      <c r="B37" t="s">
        <v>284</v>
      </c>
      <c r="C37">
        <v>667370</v>
      </c>
      <c r="D37">
        <v>2.7945631113646101</v>
      </c>
      <c r="E37" s="1" t="s">
        <v>285</v>
      </c>
      <c r="F37" t="s">
        <v>286</v>
      </c>
    </row>
    <row r="38" spans="1:6" x14ac:dyDescent="0.3">
      <c r="A38" t="s">
        <v>287</v>
      </c>
      <c r="B38" t="s">
        <v>288</v>
      </c>
      <c r="C38">
        <v>64380</v>
      </c>
      <c r="D38">
        <v>2.7863797091951801</v>
      </c>
      <c r="E38">
        <v>4.4265709916468197E-3</v>
      </c>
      <c r="F38" t="s">
        <v>289</v>
      </c>
    </row>
    <row r="39" spans="1:6" x14ac:dyDescent="0.3">
      <c r="A39" t="s">
        <v>103</v>
      </c>
      <c r="B39" t="s">
        <v>102</v>
      </c>
      <c r="C39">
        <v>15945</v>
      </c>
      <c r="D39">
        <v>2.78515983883756</v>
      </c>
      <c r="E39">
        <v>1.0019742821011301E-3</v>
      </c>
      <c r="F39" t="s">
        <v>290</v>
      </c>
    </row>
    <row r="40" spans="1:6" x14ac:dyDescent="0.3">
      <c r="A40" t="s">
        <v>291</v>
      </c>
      <c r="B40" t="s">
        <v>292</v>
      </c>
      <c r="C40">
        <v>54123</v>
      </c>
      <c r="D40">
        <v>2.7622341468906302</v>
      </c>
      <c r="E40" s="1" t="s">
        <v>293</v>
      </c>
      <c r="F40" t="s">
        <v>294</v>
      </c>
    </row>
    <row r="41" spans="1:6" x14ac:dyDescent="0.3">
      <c r="A41" t="s">
        <v>295</v>
      </c>
      <c r="B41" t="s">
        <v>296</v>
      </c>
      <c r="C41">
        <v>16633</v>
      </c>
      <c r="D41">
        <v>2.7511050539831801</v>
      </c>
      <c r="E41">
        <v>5.0885363811472902E-3</v>
      </c>
      <c r="F41" t="s">
        <v>297</v>
      </c>
    </row>
    <row r="42" spans="1:6" x14ac:dyDescent="0.3">
      <c r="A42" t="s">
        <v>298</v>
      </c>
      <c r="B42" t="s">
        <v>299</v>
      </c>
      <c r="C42">
        <v>246256</v>
      </c>
      <c r="D42">
        <v>2.7046004989606098</v>
      </c>
      <c r="E42" s="1" t="s">
        <v>300</v>
      </c>
      <c r="F42" t="s">
        <v>301</v>
      </c>
    </row>
    <row r="43" spans="1:6" x14ac:dyDescent="0.3">
      <c r="A43" t="s">
        <v>302</v>
      </c>
      <c r="B43" t="s">
        <v>303</v>
      </c>
      <c r="C43">
        <v>53314</v>
      </c>
      <c r="D43">
        <v>2.6596652486757901</v>
      </c>
      <c r="E43">
        <v>2.2200893427511401E-2</v>
      </c>
      <c r="F43" t="s">
        <v>304</v>
      </c>
    </row>
    <row r="44" spans="1:6" x14ac:dyDescent="0.3">
      <c r="A44" t="s">
        <v>31</v>
      </c>
      <c r="B44" t="s">
        <v>30</v>
      </c>
      <c r="C44">
        <v>20303</v>
      </c>
      <c r="D44">
        <v>2.6512925466558599</v>
      </c>
      <c r="E44">
        <v>2.3666898312940901E-2</v>
      </c>
      <c r="F44" t="s">
        <v>305</v>
      </c>
    </row>
    <row r="45" spans="1:6" x14ac:dyDescent="0.3">
      <c r="A45" t="s">
        <v>306</v>
      </c>
      <c r="B45" t="s">
        <v>307</v>
      </c>
      <c r="C45">
        <v>15162</v>
      </c>
      <c r="D45">
        <v>2.63427158059039</v>
      </c>
      <c r="E45" s="1" t="s">
        <v>308</v>
      </c>
      <c r="F45" t="s">
        <v>309</v>
      </c>
    </row>
    <row r="46" spans="1:6" x14ac:dyDescent="0.3">
      <c r="A46" t="s">
        <v>310</v>
      </c>
      <c r="B46" t="s">
        <v>311</v>
      </c>
      <c r="C46">
        <v>16365</v>
      </c>
      <c r="D46">
        <v>2.63329876567329</v>
      </c>
      <c r="E46">
        <v>2.1725993687134501E-2</v>
      </c>
      <c r="F46" t="s">
        <v>312</v>
      </c>
    </row>
    <row r="47" spans="1:6" x14ac:dyDescent="0.3">
      <c r="A47" t="s">
        <v>313</v>
      </c>
      <c r="B47" t="s">
        <v>314</v>
      </c>
      <c r="C47">
        <v>213002</v>
      </c>
      <c r="D47">
        <v>2.62473447520262</v>
      </c>
      <c r="E47">
        <v>1.5460548141236799E-2</v>
      </c>
      <c r="F47" t="s">
        <v>315</v>
      </c>
    </row>
    <row r="48" spans="1:6" x14ac:dyDescent="0.3">
      <c r="A48" t="s">
        <v>316</v>
      </c>
      <c r="B48" t="s">
        <v>317</v>
      </c>
      <c r="C48">
        <v>20558</v>
      </c>
      <c r="D48">
        <v>2.6206286178804401</v>
      </c>
      <c r="E48">
        <v>1.3347330084887499E-3</v>
      </c>
      <c r="F48" t="s">
        <v>318</v>
      </c>
    </row>
    <row r="49" spans="1:6" x14ac:dyDescent="0.3">
      <c r="A49" t="s">
        <v>111</v>
      </c>
      <c r="B49" t="s">
        <v>110</v>
      </c>
      <c r="C49">
        <v>20296</v>
      </c>
      <c r="D49">
        <v>2.6140610901983199</v>
      </c>
      <c r="E49">
        <v>2.5474058279146899E-3</v>
      </c>
      <c r="F49" t="s">
        <v>319</v>
      </c>
    </row>
    <row r="50" spans="1:6" x14ac:dyDescent="0.3">
      <c r="A50" t="s">
        <v>320</v>
      </c>
      <c r="B50" t="s">
        <v>321</v>
      </c>
      <c r="C50">
        <v>19288</v>
      </c>
      <c r="D50">
        <v>2.6123703572022001</v>
      </c>
      <c r="E50">
        <v>1.6695829053875001E-2</v>
      </c>
      <c r="F50" t="s">
        <v>322</v>
      </c>
    </row>
    <row r="51" spans="1:6" x14ac:dyDescent="0.3">
      <c r="A51" t="s">
        <v>323</v>
      </c>
      <c r="B51" t="s">
        <v>324</v>
      </c>
      <c r="C51">
        <v>15958</v>
      </c>
      <c r="D51">
        <v>2.6020789899755599</v>
      </c>
      <c r="E51" s="1" t="s">
        <v>325</v>
      </c>
      <c r="F51" t="s">
        <v>326</v>
      </c>
    </row>
    <row r="52" spans="1:6" x14ac:dyDescent="0.3">
      <c r="A52" t="s">
        <v>327</v>
      </c>
      <c r="B52" t="s">
        <v>328</v>
      </c>
      <c r="C52">
        <v>12481</v>
      </c>
      <c r="D52">
        <v>2.6016183009084601</v>
      </c>
      <c r="E52">
        <v>1.20936397541928E-2</v>
      </c>
      <c r="F52" t="s">
        <v>329</v>
      </c>
    </row>
    <row r="53" spans="1:6" x14ac:dyDescent="0.3">
      <c r="A53" t="s">
        <v>330</v>
      </c>
      <c r="B53" t="s">
        <v>331</v>
      </c>
      <c r="C53">
        <v>17085</v>
      </c>
      <c r="D53">
        <v>2.5999056074321198</v>
      </c>
      <c r="E53">
        <v>1.10528457129795E-2</v>
      </c>
      <c r="F53" t="s">
        <v>332</v>
      </c>
    </row>
    <row r="54" spans="1:6" x14ac:dyDescent="0.3">
      <c r="A54" t="s">
        <v>333</v>
      </c>
      <c r="B54" t="s">
        <v>334</v>
      </c>
      <c r="C54">
        <v>27007</v>
      </c>
      <c r="D54">
        <v>2.5933348268977898</v>
      </c>
      <c r="E54">
        <v>1.66338627083715E-3</v>
      </c>
      <c r="F54" t="s">
        <v>335</v>
      </c>
    </row>
    <row r="55" spans="1:6" x14ac:dyDescent="0.3">
      <c r="A55" t="s">
        <v>336</v>
      </c>
      <c r="B55" t="s">
        <v>337</v>
      </c>
      <c r="C55">
        <v>11815</v>
      </c>
      <c r="D55">
        <v>2.5860162845800598</v>
      </c>
      <c r="E55" s="1" t="s">
        <v>338</v>
      </c>
      <c r="F55" t="s">
        <v>339</v>
      </c>
    </row>
    <row r="56" spans="1:6" x14ac:dyDescent="0.3">
      <c r="A56" t="s">
        <v>340</v>
      </c>
      <c r="B56" t="s">
        <v>341</v>
      </c>
      <c r="C56">
        <v>219131</v>
      </c>
      <c r="D56">
        <v>2.5858983329346499</v>
      </c>
      <c r="E56" s="1" t="s">
        <v>342</v>
      </c>
      <c r="F56" t="s">
        <v>343</v>
      </c>
    </row>
    <row r="57" spans="1:6" x14ac:dyDescent="0.3">
      <c r="A57" t="s">
        <v>344</v>
      </c>
      <c r="B57" t="s">
        <v>345</v>
      </c>
      <c r="C57">
        <v>59083</v>
      </c>
      <c r="D57">
        <v>2.55843543582735</v>
      </c>
      <c r="E57">
        <v>2.17243832630361E-2</v>
      </c>
      <c r="F57" t="s">
        <v>346</v>
      </c>
    </row>
    <row r="58" spans="1:6" x14ac:dyDescent="0.3">
      <c r="A58" t="s">
        <v>347</v>
      </c>
      <c r="B58" t="s">
        <v>348</v>
      </c>
      <c r="C58">
        <v>327959</v>
      </c>
      <c r="D58">
        <v>2.51865347694552</v>
      </c>
      <c r="E58" s="1" t="s">
        <v>349</v>
      </c>
      <c r="F58" t="s">
        <v>350</v>
      </c>
    </row>
    <row r="59" spans="1:6" x14ac:dyDescent="0.3">
      <c r="A59" t="s">
        <v>351</v>
      </c>
      <c r="B59" t="s">
        <v>352</v>
      </c>
      <c r="C59">
        <v>23886</v>
      </c>
      <c r="D59">
        <v>2.5149366061118399</v>
      </c>
      <c r="E59" s="1" t="s">
        <v>353</v>
      </c>
      <c r="F59" t="s">
        <v>354</v>
      </c>
    </row>
    <row r="60" spans="1:6" x14ac:dyDescent="0.3">
      <c r="A60" t="s">
        <v>355</v>
      </c>
      <c r="B60" t="s">
        <v>356</v>
      </c>
      <c r="C60">
        <v>20716</v>
      </c>
      <c r="D60">
        <v>2.4755108672806601</v>
      </c>
      <c r="E60" s="1" t="s">
        <v>170</v>
      </c>
      <c r="F60" t="s">
        <v>357</v>
      </c>
    </row>
    <row r="61" spans="1:6" x14ac:dyDescent="0.3">
      <c r="A61" t="s">
        <v>358</v>
      </c>
      <c r="B61" t="s">
        <v>359</v>
      </c>
      <c r="C61">
        <v>16818</v>
      </c>
      <c r="D61">
        <v>2.4442080125342098</v>
      </c>
      <c r="E61">
        <v>1.1360545278237899E-2</v>
      </c>
      <c r="F61" t="s">
        <v>360</v>
      </c>
    </row>
    <row r="62" spans="1:6" x14ac:dyDescent="0.3">
      <c r="A62" t="s">
        <v>361</v>
      </c>
      <c r="B62" t="s">
        <v>362</v>
      </c>
      <c r="C62">
        <v>12268</v>
      </c>
      <c r="D62">
        <v>2.4224161280930701</v>
      </c>
      <c r="E62" s="1" t="s">
        <v>363</v>
      </c>
      <c r="F62" t="s">
        <v>364</v>
      </c>
    </row>
    <row r="63" spans="1:6" x14ac:dyDescent="0.3">
      <c r="A63" t="s">
        <v>365</v>
      </c>
      <c r="B63" t="s">
        <v>366</v>
      </c>
      <c r="C63">
        <v>75345</v>
      </c>
      <c r="D63">
        <v>2.4107272464420801</v>
      </c>
      <c r="E63">
        <v>8.3625272201854305E-3</v>
      </c>
      <c r="F63" t="s">
        <v>367</v>
      </c>
    </row>
    <row r="64" spans="1:6" x14ac:dyDescent="0.3">
      <c r="A64" t="s">
        <v>368</v>
      </c>
      <c r="B64" t="s">
        <v>369</v>
      </c>
      <c r="C64">
        <v>15957</v>
      </c>
      <c r="D64">
        <v>2.3893452292566302</v>
      </c>
      <c r="E64">
        <v>1.9412283833300799E-4</v>
      </c>
      <c r="F64" t="s">
        <v>370</v>
      </c>
    </row>
    <row r="65" spans="1:6" x14ac:dyDescent="0.3">
      <c r="A65" t="s">
        <v>109</v>
      </c>
      <c r="B65" t="s">
        <v>108</v>
      </c>
      <c r="C65">
        <v>20306</v>
      </c>
      <c r="D65">
        <v>2.3857779987346799</v>
      </c>
      <c r="E65" s="1" t="s">
        <v>371</v>
      </c>
      <c r="F65" t="s">
        <v>372</v>
      </c>
    </row>
    <row r="66" spans="1:6" x14ac:dyDescent="0.3">
      <c r="A66" t="s">
        <v>373</v>
      </c>
      <c r="B66" t="s">
        <v>374</v>
      </c>
      <c r="C66">
        <v>11501</v>
      </c>
      <c r="D66">
        <v>2.3620996024182701</v>
      </c>
      <c r="E66">
        <v>8.5856646862008008E-3</v>
      </c>
      <c r="F66" t="s">
        <v>375</v>
      </c>
    </row>
    <row r="67" spans="1:6" x14ac:dyDescent="0.3">
      <c r="A67" t="s">
        <v>376</v>
      </c>
      <c r="B67" t="s">
        <v>377</v>
      </c>
      <c r="C67">
        <v>18646</v>
      </c>
      <c r="D67">
        <v>2.2890011819234402</v>
      </c>
      <c r="E67">
        <v>1.6695829053875001E-2</v>
      </c>
      <c r="F67" t="s">
        <v>378</v>
      </c>
    </row>
    <row r="68" spans="1:6" x14ac:dyDescent="0.3">
      <c r="A68" t="s">
        <v>379</v>
      </c>
      <c r="B68" t="s">
        <v>380</v>
      </c>
      <c r="C68">
        <v>13041</v>
      </c>
      <c r="D68">
        <v>2.2662969580386698</v>
      </c>
      <c r="E68">
        <v>7.2218664421734797E-3</v>
      </c>
      <c r="F68" t="s">
        <v>381</v>
      </c>
    </row>
    <row r="69" spans="1:6" x14ac:dyDescent="0.3">
      <c r="A69" t="s">
        <v>382</v>
      </c>
      <c r="B69" t="s">
        <v>383</v>
      </c>
      <c r="C69">
        <v>100702</v>
      </c>
      <c r="D69">
        <v>2.2639491568721399</v>
      </c>
      <c r="E69" s="1" t="s">
        <v>384</v>
      </c>
      <c r="F69" t="s">
        <v>385</v>
      </c>
    </row>
    <row r="70" spans="1:6" x14ac:dyDescent="0.3">
      <c r="A70" t="s">
        <v>55</v>
      </c>
      <c r="B70" t="s">
        <v>54</v>
      </c>
      <c r="C70">
        <v>12768</v>
      </c>
      <c r="D70">
        <v>2.2636105786302601</v>
      </c>
      <c r="E70">
        <v>2.27506777407873E-2</v>
      </c>
      <c r="F70" t="s">
        <v>386</v>
      </c>
    </row>
    <row r="71" spans="1:6" x14ac:dyDescent="0.3">
      <c r="A71" t="s">
        <v>387</v>
      </c>
      <c r="B71" t="s">
        <v>388</v>
      </c>
      <c r="C71">
        <v>68026</v>
      </c>
      <c r="D71">
        <v>2.2440992293286999</v>
      </c>
      <c r="E71">
        <v>7.5005942637399797E-3</v>
      </c>
      <c r="F71" t="s">
        <v>389</v>
      </c>
    </row>
    <row r="72" spans="1:6" x14ac:dyDescent="0.3">
      <c r="A72" t="s">
        <v>390</v>
      </c>
      <c r="B72" t="s">
        <v>391</v>
      </c>
      <c r="C72">
        <v>60361</v>
      </c>
      <c r="D72">
        <v>2.2366566367638501</v>
      </c>
      <c r="E72">
        <v>3.3101408164242099E-4</v>
      </c>
      <c r="F72" t="s">
        <v>392</v>
      </c>
    </row>
    <row r="73" spans="1:6" x14ac:dyDescent="0.3">
      <c r="A73" t="s">
        <v>393</v>
      </c>
      <c r="B73" t="s">
        <v>394</v>
      </c>
      <c r="C73">
        <v>60440</v>
      </c>
      <c r="D73">
        <v>2.2325864762143</v>
      </c>
      <c r="E73" s="1" t="s">
        <v>395</v>
      </c>
      <c r="F73" t="s">
        <v>396</v>
      </c>
    </row>
    <row r="74" spans="1:6" x14ac:dyDescent="0.3">
      <c r="A74" t="s">
        <v>397</v>
      </c>
      <c r="B74" t="s">
        <v>398</v>
      </c>
      <c r="C74">
        <v>73656</v>
      </c>
      <c r="D74">
        <v>2.22166395512181</v>
      </c>
      <c r="E74" s="1" t="s">
        <v>399</v>
      </c>
      <c r="F74" t="s">
        <v>400</v>
      </c>
    </row>
    <row r="75" spans="1:6" x14ac:dyDescent="0.3">
      <c r="A75" t="s">
        <v>401</v>
      </c>
      <c r="B75" t="s">
        <v>402</v>
      </c>
      <c r="C75">
        <v>17858</v>
      </c>
      <c r="D75">
        <v>2.2184640837861198</v>
      </c>
      <c r="E75">
        <v>1.3065600914187901E-3</v>
      </c>
      <c r="F75" t="s">
        <v>403</v>
      </c>
    </row>
    <row r="76" spans="1:6" x14ac:dyDescent="0.3">
      <c r="A76" t="s">
        <v>404</v>
      </c>
      <c r="B76" t="s">
        <v>405</v>
      </c>
      <c r="C76">
        <v>15944</v>
      </c>
      <c r="D76">
        <v>2.2176051086428101</v>
      </c>
      <c r="E76" s="1" t="s">
        <v>406</v>
      </c>
      <c r="F76" t="s">
        <v>407</v>
      </c>
    </row>
    <row r="77" spans="1:6" x14ac:dyDescent="0.3">
      <c r="A77" t="s">
        <v>408</v>
      </c>
      <c r="B77" t="s">
        <v>409</v>
      </c>
      <c r="C77">
        <v>14129</v>
      </c>
      <c r="D77">
        <v>2.20155126981932</v>
      </c>
      <c r="E77" s="1" t="s">
        <v>410</v>
      </c>
      <c r="F77" t="s">
        <v>411</v>
      </c>
    </row>
    <row r="78" spans="1:6" x14ac:dyDescent="0.3">
      <c r="A78" t="s">
        <v>412</v>
      </c>
      <c r="B78" t="s">
        <v>413</v>
      </c>
      <c r="C78">
        <v>68774</v>
      </c>
      <c r="D78">
        <v>2.20013990359331</v>
      </c>
      <c r="E78" s="1" t="s">
        <v>371</v>
      </c>
      <c r="F78" t="s">
        <v>414</v>
      </c>
    </row>
    <row r="79" spans="1:6" x14ac:dyDescent="0.3">
      <c r="A79" t="s">
        <v>415</v>
      </c>
      <c r="B79" t="s">
        <v>416</v>
      </c>
      <c r="C79">
        <v>12517</v>
      </c>
      <c r="D79">
        <v>2.1990983242516302</v>
      </c>
      <c r="E79" s="1" t="s">
        <v>417</v>
      </c>
      <c r="F79" t="s">
        <v>418</v>
      </c>
    </row>
    <row r="80" spans="1:6" x14ac:dyDescent="0.3">
      <c r="A80" t="s">
        <v>419</v>
      </c>
      <c r="B80" t="s">
        <v>420</v>
      </c>
      <c r="C80">
        <v>100861753</v>
      </c>
      <c r="D80">
        <v>2.19154990903403</v>
      </c>
      <c r="E80">
        <v>2.4527349711048999E-3</v>
      </c>
      <c r="F80" t="s">
        <v>421</v>
      </c>
    </row>
    <row r="81" spans="1:6" x14ac:dyDescent="0.3">
      <c r="A81" t="s">
        <v>422</v>
      </c>
      <c r="B81" t="s">
        <v>423</v>
      </c>
      <c r="C81">
        <v>20210</v>
      </c>
      <c r="D81">
        <v>2.1472248215276402</v>
      </c>
      <c r="E81">
        <v>8.0207033978248396E-3</v>
      </c>
      <c r="F81" t="s">
        <v>424</v>
      </c>
    </row>
    <row r="82" spans="1:6" x14ac:dyDescent="0.3">
      <c r="A82" t="s">
        <v>425</v>
      </c>
      <c r="B82" t="s">
        <v>426</v>
      </c>
      <c r="C82">
        <v>20612</v>
      </c>
      <c r="D82">
        <v>2.1448559314104299</v>
      </c>
      <c r="E82">
        <v>1.2948886166787899E-2</v>
      </c>
      <c r="F82" t="s">
        <v>427</v>
      </c>
    </row>
    <row r="83" spans="1:6" x14ac:dyDescent="0.3">
      <c r="A83" t="s">
        <v>428</v>
      </c>
      <c r="B83" t="s">
        <v>429</v>
      </c>
      <c r="C83">
        <v>13040</v>
      </c>
      <c r="D83">
        <v>2.14000336376967</v>
      </c>
      <c r="E83" s="1" t="s">
        <v>430</v>
      </c>
      <c r="F83" t="s">
        <v>431</v>
      </c>
    </row>
    <row r="84" spans="1:6" x14ac:dyDescent="0.3">
      <c r="A84" t="s">
        <v>432</v>
      </c>
      <c r="B84" t="s">
        <v>433</v>
      </c>
      <c r="C84">
        <v>246730</v>
      </c>
      <c r="D84">
        <v>2.13376555987562</v>
      </c>
      <c r="E84">
        <v>1.3769972946711499E-4</v>
      </c>
      <c r="F84" t="s">
        <v>434</v>
      </c>
    </row>
    <row r="85" spans="1:6" x14ac:dyDescent="0.3">
      <c r="A85" t="s">
        <v>435</v>
      </c>
      <c r="B85" t="s">
        <v>436</v>
      </c>
      <c r="C85">
        <v>20737</v>
      </c>
      <c r="D85">
        <v>2.1301130907067698</v>
      </c>
      <c r="E85">
        <v>7.8702049408321904E-3</v>
      </c>
      <c r="F85" t="s">
        <v>437</v>
      </c>
    </row>
    <row r="86" spans="1:6" x14ac:dyDescent="0.3">
      <c r="A86" t="s">
        <v>438</v>
      </c>
      <c r="B86" t="s">
        <v>439</v>
      </c>
      <c r="C86">
        <v>109225</v>
      </c>
      <c r="D86">
        <v>2.1293299354255799</v>
      </c>
      <c r="E86" s="1" t="s">
        <v>440</v>
      </c>
      <c r="F86" t="s">
        <v>441</v>
      </c>
    </row>
    <row r="87" spans="1:6" x14ac:dyDescent="0.3">
      <c r="A87" t="s">
        <v>442</v>
      </c>
      <c r="B87" t="s">
        <v>443</v>
      </c>
      <c r="C87">
        <v>12984</v>
      </c>
      <c r="D87">
        <v>2.1108779196951</v>
      </c>
      <c r="E87">
        <v>1.7854617506407999E-2</v>
      </c>
      <c r="F87" t="s">
        <v>444</v>
      </c>
    </row>
    <row r="88" spans="1:6" x14ac:dyDescent="0.3">
      <c r="A88" t="s">
        <v>445</v>
      </c>
      <c r="B88" t="s">
        <v>446</v>
      </c>
      <c r="C88">
        <v>279572</v>
      </c>
      <c r="D88">
        <v>2.0969252883516698</v>
      </c>
      <c r="E88">
        <v>1.17407882748564E-3</v>
      </c>
      <c r="F88" t="s">
        <v>447</v>
      </c>
    </row>
    <row r="89" spans="1:6" x14ac:dyDescent="0.3">
      <c r="A89" t="s">
        <v>448</v>
      </c>
      <c r="B89" t="s">
        <v>449</v>
      </c>
      <c r="C89">
        <v>23833</v>
      </c>
      <c r="D89">
        <v>2.0819937885744402</v>
      </c>
      <c r="E89" s="1" t="s">
        <v>450</v>
      </c>
      <c r="F89" t="s">
        <v>451</v>
      </c>
    </row>
    <row r="90" spans="1:6" x14ac:dyDescent="0.3">
      <c r="A90" t="s">
        <v>452</v>
      </c>
      <c r="B90" t="s">
        <v>453</v>
      </c>
      <c r="C90">
        <v>17750</v>
      </c>
      <c r="D90">
        <v>2.0348858707461401</v>
      </c>
      <c r="E90" s="1" t="s">
        <v>454</v>
      </c>
      <c r="F90" t="s">
        <v>455</v>
      </c>
    </row>
    <row r="91" spans="1:6" x14ac:dyDescent="0.3">
      <c r="A91" t="s">
        <v>456</v>
      </c>
      <c r="B91" t="s">
        <v>457</v>
      </c>
      <c r="C91">
        <v>24110</v>
      </c>
      <c r="D91">
        <v>2.0321909022913598</v>
      </c>
      <c r="E91">
        <v>4.6566378785516701E-4</v>
      </c>
      <c r="F91" t="s">
        <v>458</v>
      </c>
    </row>
    <row r="92" spans="1:6" x14ac:dyDescent="0.3">
      <c r="A92" t="s">
        <v>459</v>
      </c>
      <c r="B92" t="s">
        <v>460</v>
      </c>
      <c r="C92">
        <v>83382</v>
      </c>
      <c r="D92">
        <v>2.0256765051344998</v>
      </c>
      <c r="E92">
        <v>4.7771487299852E-3</v>
      </c>
      <c r="F92" t="s">
        <v>461</v>
      </c>
    </row>
    <row r="93" spans="1:6" x14ac:dyDescent="0.3">
      <c r="A93" t="s">
        <v>462</v>
      </c>
      <c r="B93" t="s">
        <v>463</v>
      </c>
      <c r="C93">
        <v>100038882</v>
      </c>
      <c r="D93">
        <v>2.0202089409983501</v>
      </c>
      <c r="E93">
        <v>4.1589664284817501E-3</v>
      </c>
      <c r="F93" t="s">
        <v>464</v>
      </c>
    </row>
    <row r="94" spans="1:6" x14ac:dyDescent="0.3">
      <c r="A94" t="s">
        <v>465</v>
      </c>
      <c r="B94" t="s">
        <v>466</v>
      </c>
      <c r="C94">
        <v>100041546</v>
      </c>
      <c r="D94">
        <v>2.0198130054899499</v>
      </c>
      <c r="E94">
        <v>6.3890635665526203E-4</v>
      </c>
      <c r="F94" t="s">
        <v>467</v>
      </c>
    </row>
    <row r="95" spans="1:6" x14ac:dyDescent="0.3">
      <c r="A95" t="s">
        <v>468</v>
      </c>
      <c r="B95" t="s">
        <v>469</v>
      </c>
      <c r="C95">
        <v>212032</v>
      </c>
      <c r="D95">
        <v>2.01067590966472</v>
      </c>
      <c r="E95">
        <v>1.61116061843424E-2</v>
      </c>
      <c r="F95" t="s">
        <v>470</v>
      </c>
    </row>
    <row r="96" spans="1:6" x14ac:dyDescent="0.3">
      <c r="A96" t="s">
        <v>471</v>
      </c>
      <c r="B96" t="s">
        <v>472</v>
      </c>
      <c r="C96">
        <v>12045</v>
      </c>
      <c r="D96">
        <v>2.00684117702487</v>
      </c>
      <c r="E96">
        <v>1.74020571896699E-2</v>
      </c>
      <c r="F96" t="s">
        <v>473</v>
      </c>
    </row>
    <row r="97" spans="1:6" x14ac:dyDescent="0.3">
      <c r="A97" t="s">
        <v>474</v>
      </c>
      <c r="B97" t="s">
        <v>475</v>
      </c>
      <c r="C97">
        <v>219132</v>
      </c>
      <c r="D97">
        <v>2.0038192347179198</v>
      </c>
      <c r="E97" s="1" t="s">
        <v>476</v>
      </c>
      <c r="F97" t="s">
        <v>477</v>
      </c>
    </row>
    <row r="98" spans="1:6" x14ac:dyDescent="0.3">
      <c r="A98" t="s">
        <v>478</v>
      </c>
      <c r="B98" t="s">
        <v>479</v>
      </c>
      <c r="C98">
        <v>12047</v>
      </c>
      <c r="D98">
        <v>1.99428386701167</v>
      </c>
      <c r="E98">
        <v>2.4465730632136799E-2</v>
      </c>
      <c r="F98" t="s">
        <v>480</v>
      </c>
    </row>
    <row r="99" spans="1:6" x14ac:dyDescent="0.3">
      <c r="A99" t="s">
        <v>481</v>
      </c>
      <c r="B99" t="s">
        <v>482</v>
      </c>
      <c r="C99">
        <v>21354</v>
      </c>
      <c r="D99">
        <v>1.9889544743333201</v>
      </c>
      <c r="E99" s="1" t="s">
        <v>483</v>
      </c>
      <c r="F99" t="s">
        <v>484</v>
      </c>
    </row>
    <row r="100" spans="1:6" x14ac:dyDescent="0.3">
      <c r="A100" t="s">
        <v>485</v>
      </c>
      <c r="B100" t="s">
        <v>486</v>
      </c>
      <c r="C100">
        <v>60504</v>
      </c>
      <c r="D100">
        <v>1.96999929368541</v>
      </c>
      <c r="E100">
        <v>2.4409803476148802E-2</v>
      </c>
      <c r="F100" t="s">
        <v>487</v>
      </c>
    </row>
    <row r="101" spans="1:6" x14ac:dyDescent="0.3">
      <c r="A101" t="s">
        <v>488</v>
      </c>
      <c r="B101" t="s">
        <v>489</v>
      </c>
      <c r="C101">
        <v>80861</v>
      </c>
      <c r="D101">
        <v>1.95729551543306</v>
      </c>
      <c r="E101">
        <v>8.3434844290269702E-3</v>
      </c>
      <c r="F101" t="s">
        <v>490</v>
      </c>
    </row>
    <row r="102" spans="1:6" x14ac:dyDescent="0.3">
      <c r="A102" t="s">
        <v>491</v>
      </c>
      <c r="B102" t="s">
        <v>492</v>
      </c>
      <c r="C102">
        <v>215632</v>
      </c>
      <c r="D102">
        <v>1.9517221320817399</v>
      </c>
      <c r="E102">
        <v>4.75952501165735E-2</v>
      </c>
      <c r="F102" t="s">
        <v>493</v>
      </c>
    </row>
    <row r="103" spans="1:6" x14ac:dyDescent="0.3">
      <c r="A103" t="s">
        <v>494</v>
      </c>
      <c r="B103" t="s">
        <v>495</v>
      </c>
      <c r="C103">
        <v>54396</v>
      </c>
      <c r="D103">
        <v>1.9509250837732699</v>
      </c>
      <c r="E103" s="1" t="s">
        <v>496</v>
      </c>
      <c r="F103" t="s">
        <v>497</v>
      </c>
    </row>
    <row r="104" spans="1:6" x14ac:dyDescent="0.3">
      <c r="A104" t="s">
        <v>498</v>
      </c>
      <c r="B104" t="s">
        <v>499</v>
      </c>
      <c r="C104">
        <v>19378</v>
      </c>
      <c r="D104">
        <v>1.9501892777146499</v>
      </c>
      <c r="E104">
        <v>5.2391253971463096E-3</v>
      </c>
      <c r="F104" t="s">
        <v>500</v>
      </c>
    </row>
    <row r="105" spans="1:6" x14ac:dyDescent="0.3">
      <c r="A105" t="s">
        <v>501</v>
      </c>
      <c r="B105" t="s">
        <v>502</v>
      </c>
      <c r="C105">
        <v>140497</v>
      </c>
      <c r="D105">
        <v>1.94521923185798</v>
      </c>
      <c r="E105">
        <v>6.3203145730802198E-4</v>
      </c>
      <c r="F105" t="s">
        <v>503</v>
      </c>
    </row>
    <row r="106" spans="1:6" x14ac:dyDescent="0.3">
      <c r="A106" t="s">
        <v>504</v>
      </c>
      <c r="B106" t="s">
        <v>505</v>
      </c>
      <c r="C106">
        <v>73149</v>
      </c>
      <c r="D106">
        <v>1.9398173707609101</v>
      </c>
      <c r="E106">
        <v>1.11302535550179E-3</v>
      </c>
      <c r="F106" t="s">
        <v>506</v>
      </c>
    </row>
    <row r="107" spans="1:6" x14ac:dyDescent="0.3">
      <c r="A107" t="s">
        <v>507</v>
      </c>
      <c r="B107" t="s">
        <v>508</v>
      </c>
      <c r="C107">
        <v>16411</v>
      </c>
      <c r="D107">
        <v>1.9271367004929101</v>
      </c>
      <c r="E107">
        <v>7.2511138837491199E-3</v>
      </c>
      <c r="F107" t="s">
        <v>509</v>
      </c>
    </row>
    <row r="108" spans="1:6" x14ac:dyDescent="0.3">
      <c r="A108" t="s">
        <v>510</v>
      </c>
      <c r="B108" t="s">
        <v>511</v>
      </c>
      <c r="C108">
        <v>12182</v>
      </c>
      <c r="D108">
        <v>1.9040943705592299</v>
      </c>
      <c r="E108">
        <v>2.0273660583084701E-2</v>
      </c>
      <c r="F108" t="s">
        <v>512</v>
      </c>
    </row>
    <row r="109" spans="1:6" x14ac:dyDescent="0.3">
      <c r="A109" t="s">
        <v>513</v>
      </c>
      <c r="B109" t="s">
        <v>514</v>
      </c>
      <c r="C109">
        <v>107321</v>
      </c>
      <c r="D109">
        <v>1.89984501642333</v>
      </c>
      <c r="E109">
        <v>3.2870612658686599E-2</v>
      </c>
      <c r="F109" t="s">
        <v>515</v>
      </c>
    </row>
    <row r="110" spans="1:6" x14ac:dyDescent="0.3">
      <c r="A110" t="s">
        <v>516</v>
      </c>
      <c r="B110" t="s">
        <v>517</v>
      </c>
      <c r="C110">
        <v>211228</v>
      </c>
      <c r="D110">
        <v>1.89860244422782</v>
      </c>
      <c r="E110">
        <v>7.7574378141262099E-3</v>
      </c>
      <c r="F110" t="s">
        <v>518</v>
      </c>
    </row>
    <row r="111" spans="1:6" x14ac:dyDescent="0.3">
      <c r="A111" t="s">
        <v>519</v>
      </c>
      <c r="B111" t="s">
        <v>520</v>
      </c>
      <c r="C111">
        <v>69774</v>
      </c>
      <c r="D111">
        <v>1.8817567565448701</v>
      </c>
      <c r="E111" s="1" t="s">
        <v>395</v>
      </c>
      <c r="F111" t="s">
        <v>521</v>
      </c>
    </row>
    <row r="112" spans="1:6" x14ac:dyDescent="0.3">
      <c r="A112" t="s">
        <v>522</v>
      </c>
      <c r="B112" t="s">
        <v>523</v>
      </c>
      <c r="C112">
        <v>99899</v>
      </c>
      <c r="D112">
        <v>1.8722660084271501</v>
      </c>
      <c r="E112">
        <v>4.7774060223300602E-4</v>
      </c>
      <c r="F112" t="s">
        <v>524</v>
      </c>
    </row>
    <row r="113" spans="1:6" x14ac:dyDescent="0.3">
      <c r="A113" t="s">
        <v>525</v>
      </c>
      <c r="B113" t="s">
        <v>526</v>
      </c>
      <c r="C113">
        <v>73690</v>
      </c>
      <c r="D113">
        <v>1.84613438016342</v>
      </c>
      <c r="E113">
        <v>2.08132983427041E-3</v>
      </c>
      <c r="F113" t="s">
        <v>527</v>
      </c>
    </row>
    <row r="114" spans="1:6" x14ac:dyDescent="0.3">
      <c r="A114" t="s">
        <v>528</v>
      </c>
      <c r="B114" t="s">
        <v>529</v>
      </c>
      <c r="C114">
        <v>23960</v>
      </c>
      <c r="D114">
        <v>1.8452297839162899</v>
      </c>
      <c r="E114">
        <v>2.3754547113947301E-4</v>
      </c>
      <c r="F114" t="s">
        <v>530</v>
      </c>
    </row>
    <row r="115" spans="1:6" x14ac:dyDescent="0.3">
      <c r="A115" t="s">
        <v>531</v>
      </c>
      <c r="B115" t="s">
        <v>532</v>
      </c>
      <c r="C115">
        <v>240327</v>
      </c>
      <c r="D115">
        <v>1.8417208753871599</v>
      </c>
      <c r="E115">
        <v>1.9468965229253901E-3</v>
      </c>
      <c r="F115" t="s">
        <v>533</v>
      </c>
    </row>
    <row r="116" spans="1:6" x14ac:dyDescent="0.3">
      <c r="A116" t="s">
        <v>534</v>
      </c>
      <c r="B116" t="s">
        <v>535</v>
      </c>
      <c r="C116">
        <v>12267</v>
      </c>
      <c r="D116">
        <v>1.8323649179561099</v>
      </c>
      <c r="E116" s="1" t="s">
        <v>536</v>
      </c>
      <c r="F116" t="s">
        <v>537</v>
      </c>
    </row>
    <row r="117" spans="1:6" x14ac:dyDescent="0.3">
      <c r="A117" t="s">
        <v>538</v>
      </c>
      <c r="B117" t="s">
        <v>539</v>
      </c>
      <c r="C117">
        <v>382062</v>
      </c>
      <c r="D117">
        <v>1.83095227482582</v>
      </c>
      <c r="E117">
        <v>1.265925803558E-2</v>
      </c>
      <c r="F117" t="s">
        <v>540</v>
      </c>
    </row>
    <row r="118" spans="1:6" x14ac:dyDescent="0.3">
      <c r="A118" t="s">
        <v>541</v>
      </c>
      <c r="B118" t="s">
        <v>542</v>
      </c>
      <c r="C118">
        <v>12523</v>
      </c>
      <c r="D118">
        <v>1.8239385102569401</v>
      </c>
      <c r="E118">
        <v>3.8658030571976699E-3</v>
      </c>
      <c r="F118" t="s">
        <v>543</v>
      </c>
    </row>
    <row r="119" spans="1:6" x14ac:dyDescent="0.3">
      <c r="A119" t="s">
        <v>544</v>
      </c>
      <c r="B119" t="s">
        <v>545</v>
      </c>
      <c r="C119">
        <v>12044</v>
      </c>
      <c r="D119">
        <v>1.81557400765694</v>
      </c>
      <c r="E119">
        <v>4.1931326887413398E-2</v>
      </c>
      <c r="F119" t="s">
        <v>546</v>
      </c>
    </row>
    <row r="120" spans="1:6" x14ac:dyDescent="0.3">
      <c r="A120" t="s">
        <v>547</v>
      </c>
      <c r="B120" t="s">
        <v>548</v>
      </c>
      <c r="C120">
        <v>15040</v>
      </c>
      <c r="D120">
        <v>1.8013318880417699</v>
      </c>
      <c r="E120" s="1" t="s">
        <v>549</v>
      </c>
      <c r="F120" t="s">
        <v>550</v>
      </c>
    </row>
    <row r="121" spans="1:6" x14ac:dyDescent="0.3">
      <c r="A121" t="s">
        <v>551</v>
      </c>
      <c r="B121" t="s">
        <v>552</v>
      </c>
      <c r="C121">
        <v>100342</v>
      </c>
      <c r="D121">
        <v>1.8009831564234899</v>
      </c>
      <c r="E121">
        <v>1.19293738227525E-2</v>
      </c>
      <c r="F121" t="s">
        <v>553</v>
      </c>
    </row>
    <row r="122" spans="1:6" x14ac:dyDescent="0.3">
      <c r="A122" t="s">
        <v>554</v>
      </c>
      <c r="B122" t="s">
        <v>555</v>
      </c>
      <c r="C122">
        <v>27056</v>
      </c>
      <c r="D122">
        <v>1.7979621271516899</v>
      </c>
      <c r="E122" s="1" t="s">
        <v>556</v>
      </c>
      <c r="F122" t="s">
        <v>557</v>
      </c>
    </row>
    <row r="123" spans="1:6" x14ac:dyDescent="0.3">
      <c r="A123" t="s">
        <v>558</v>
      </c>
      <c r="B123" t="s">
        <v>559</v>
      </c>
      <c r="C123">
        <v>21822</v>
      </c>
      <c r="D123">
        <v>1.7914605001159001</v>
      </c>
      <c r="E123" s="1" t="s">
        <v>560</v>
      </c>
      <c r="F123" t="s">
        <v>561</v>
      </c>
    </row>
    <row r="124" spans="1:6" x14ac:dyDescent="0.3">
      <c r="A124" t="s">
        <v>562</v>
      </c>
      <c r="B124" t="s">
        <v>563</v>
      </c>
      <c r="C124">
        <v>269799</v>
      </c>
      <c r="D124">
        <v>1.79067521755332</v>
      </c>
      <c r="E124" s="1" t="s">
        <v>564</v>
      </c>
      <c r="F124" t="s">
        <v>565</v>
      </c>
    </row>
    <row r="125" spans="1:6" x14ac:dyDescent="0.3">
      <c r="A125" t="s">
        <v>566</v>
      </c>
      <c r="B125" t="s">
        <v>567</v>
      </c>
      <c r="C125">
        <v>26888</v>
      </c>
      <c r="D125">
        <v>1.7797366201542</v>
      </c>
      <c r="E125">
        <v>1.8519219676600099E-3</v>
      </c>
      <c r="F125" t="s">
        <v>568</v>
      </c>
    </row>
    <row r="126" spans="1:6" x14ac:dyDescent="0.3">
      <c r="A126" t="s">
        <v>569</v>
      </c>
      <c r="B126" t="s">
        <v>570</v>
      </c>
      <c r="C126">
        <v>14727</v>
      </c>
      <c r="D126">
        <v>1.77179558243275</v>
      </c>
      <c r="E126" s="1" t="s">
        <v>571</v>
      </c>
      <c r="F126" t="s">
        <v>572</v>
      </c>
    </row>
    <row r="127" spans="1:6" x14ac:dyDescent="0.3">
      <c r="A127" t="s">
        <v>573</v>
      </c>
      <c r="B127" t="s">
        <v>574</v>
      </c>
      <c r="C127">
        <v>171180</v>
      </c>
      <c r="D127">
        <v>1.7676824409409699</v>
      </c>
      <c r="E127">
        <v>1.2714829702749399E-4</v>
      </c>
      <c r="F127" t="s">
        <v>575</v>
      </c>
    </row>
    <row r="128" spans="1:6" x14ac:dyDescent="0.3">
      <c r="A128" t="s">
        <v>576</v>
      </c>
      <c r="B128" t="s">
        <v>577</v>
      </c>
      <c r="C128">
        <v>20846</v>
      </c>
      <c r="D128">
        <v>1.7620279730897399</v>
      </c>
      <c r="E128" s="1" t="s">
        <v>578</v>
      </c>
      <c r="F128" t="s">
        <v>579</v>
      </c>
    </row>
    <row r="129" spans="1:6" x14ac:dyDescent="0.3">
      <c r="A129" t="s">
        <v>580</v>
      </c>
      <c r="B129" t="s">
        <v>581</v>
      </c>
      <c r="C129">
        <v>11629</v>
      </c>
      <c r="D129">
        <v>1.75651937260379</v>
      </c>
      <c r="E129">
        <v>4.5865525855939799E-4</v>
      </c>
      <c r="F129" t="s">
        <v>582</v>
      </c>
    </row>
    <row r="130" spans="1:6" x14ac:dyDescent="0.3">
      <c r="A130" t="s">
        <v>583</v>
      </c>
      <c r="B130" t="s">
        <v>584</v>
      </c>
      <c r="C130">
        <v>380732</v>
      </c>
      <c r="D130">
        <v>1.7540030309041399</v>
      </c>
      <c r="E130">
        <v>1.26079412811813E-2</v>
      </c>
      <c r="F130" t="s">
        <v>585</v>
      </c>
    </row>
    <row r="131" spans="1:6" x14ac:dyDescent="0.3">
      <c r="A131" t="s">
        <v>586</v>
      </c>
      <c r="B131" t="s">
        <v>587</v>
      </c>
      <c r="C131">
        <v>72054</v>
      </c>
      <c r="D131">
        <v>1.7430808521737</v>
      </c>
      <c r="E131">
        <v>1.37549166890457E-2</v>
      </c>
      <c r="F131" t="s">
        <v>588</v>
      </c>
    </row>
    <row r="132" spans="1:6" x14ac:dyDescent="0.3">
      <c r="A132" t="s">
        <v>589</v>
      </c>
      <c r="B132" t="s">
        <v>590</v>
      </c>
      <c r="C132">
        <v>17476</v>
      </c>
      <c r="D132">
        <v>1.74279397536039</v>
      </c>
      <c r="E132">
        <v>1.6083556122916399E-4</v>
      </c>
      <c r="F132" t="s">
        <v>591</v>
      </c>
    </row>
    <row r="133" spans="1:6" x14ac:dyDescent="0.3">
      <c r="A133" t="s">
        <v>592</v>
      </c>
      <c r="B133" t="s">
        <v>593</v>
      </c>
      <c r="C133">
        <v>14972</v>
      </c>
      <c r="D133">
        <v>1.7389047286319701</v>
      </c>
      <c r="E133" s="1" t="s">
        <v>594</v>
      </c>
      <c r="F133" t="s">
        <v>595</v>
      </c>
    </row>
    <row r="134" spans="1:6" x14ac:dyDescent="0.3">
      <c r="A134" t="s">
        <v>596</v>
      </c>
      <c r="B134" t="s">
        <v>597</v>
      </c>
      <c r="C134">
        <v>69550</v>
      </c>
      <c r="D134">
        <v>1.7291101123261301</v>
      </c>
      <c r="E134" s="1" t="s">
        <v>598</v>
      </c>
      <c r="F134" t="s">
        <v>599</v>
      </c>
    </row>
    <row r="135" spans="1:6" x14ac:dyDescent="0.3">
      <c r="A135" t="s">
        <v>600</v>
      </c>
      <c r="B135" t="s">
        <v>601</v>
      </c>
      <c r="C135">
        <v>20345</v>
      </c>
      <c r="D135">
        <v>1.72836526945255</v>
      </c>
      <c r="E135" s="1" t="s">
        <v>602</v>
      </c>
      <c r="F135" t="s">
        <v>603</v>
      </c>
    </row>
    <row r="136" spans="1:6" x14ac:dyDescent="0.3">
      <c r="A136" t="s">
        <v>604</v>
      </c>
      <c r="B136" t="s">
        <v>605</v>
      </c>
      <c r="C136">
        <v>17392</v>
      </c>
      <c r="D136">
        <v>1.72169996271974</v>
      </c>
      <c r="E136">
        <v>8.2631519887902197E-3</v>
      </c>
      <c r="F136" t="s">
        <v>606</v>
      </c>
    </row>
    <row r="137" spans="1:6" x14ac:dyDescent="0.3">
      <c r="A137" t="s">
        <v>607</v>
      </c>
      <c r="B137" t="s">
        <v>608</v>
      </c>
      <c r="C137">
        <v>52668</v>
      </c>
      <c r="D137">
        <v>1.7207386128270601</v>
      </c>
      <c r="E137" s="1" t="s">
        <v>609</v>
      </c>
      <c r="F137" t="s">
        <v>610</v>
      </c>
    </row>
    <row r="138" spans="1:6" x14ac:dyDescent="0.3">
      <c r="A138" t="s">
        <v>611</v>
      </c>
      <c r="B138" t="s">
        <v>612</v>
      </c>
      <c r="C138">
        <v>13198</v>
      </c>
      <c r="D138">
        <v>1.7143121466104301</v>
      </c>
      <c r="E138" s="1" t="s">
        <v>613</v>
      </c>
      <c r="F138" t="s">
        <v>614</v>
      </c>
    </row>
    <row r="139" spans="1:6" x14ac:dyDescent="0.3">
      <c r="A139" t="s">
        <v>615</v>
      </c>
      <c r="B139" t="s">
        <v>616</v>
      </c>
      <c r="C139">
        <v>19354</v>
      </c>
      <c r="D139">
        <v>1.71340063364168</v>
      </c>
      <c r="E139" s="1" t="s">
        <v>617</v>
      </c>
      <c r="F139" t="s">
        <v>618</v>
      </c>
    </row>
    <row r="140" spans="1:6" x14ac:dyDescent="0.3">
      <c r="A140" t="s">
        <v>619</v>
      </c>
      <c r="B140" t="s">
        <v>620</v>
      </c>
      <c r="C140">
        <v>14127</v>
      </c>
      <c r="D140">
        <v>1.7115938134751001</v>
      </c>
      <c r="E140" s="1" t="s">
        <v>621</v>
      </c>
      <c r="F140" t="s">
        <v>622</v>
      </c>
    </row>
    <row r="141" spans="1:6" x14ac:dyDescent="0.3">
      <c r="A141" t="s">
        <v>623</v>
      </c>
      <c r="B141" t="s">
        <v>624</v>
      </c>
      <c r="C141">
        <v>17972</v>
      </c>
      <c r="D141">
        <v>1.70846232847692</v>
      </c>
      <c r="E141">
        <v>2.0466662753961702E-3</v>
      </c>
      <c r="F141" t="s">
        <v>625</v>
      </c>
    </row>
    <row r="142" spans="1:6" x14ac:dyDescent="0.3">
      <c r="A142" t="s">
        <v>626</v>
      </c>
      <c r="B142" t="s">
        <v>627</v>
      </c>
      <c r="C142">
        <v>16913</v>
      </c>
      <c r="D142">
        <v>1.6984193960754099</v>
      </c>
      <c r="E142" s="1" t="s">
        <v>628</v>
      </c>
      <c r="F142" t="s">
        <v>629</v>
      </c>
    </row>
    <row r="143" spans="1:6" x14ac:dyDescent="0.3">
      <c r="A143" t="s">
        <v>630</v>
      </c>
      <c r="B143" t="s">
        <v>631</v>
      </c>
      <c r="C143">
        <v>50498</v>
      </c>
      <c r="D143">
        <v>1.6858689745800099</v>
      </c>
      <c r="E143">
        <v>2.39034207311016E-3</v>
      </c>
      <c r="F143" t="s">
        <v>632</v>
      </c>
    </row>
    <row r="144" spans="1:6" x14ac:dyDescent="0.3">
      <c r="A144" t="s">
        <v>633</v>
      </c>
      <c r="B144" t="s">
        <v>634</v>
      </c>
      <c r="C144">
        <v>93695</v>
      </c>
      <c r="D144">
        <v>1.6791836591968801</v>
      </c>
      <c r="E144">
        <v>3.2548383015383801E-3</v>
      </c>
      <c r="F144" t="s">
        <v>635</v>
      </c>
    </row>
    <row r="145" spans="1:6" x14ac:dyDescent="0.3">
      <c r="A145" t="s">
        <v>636</v>
      </c>
      <c r="B145" t="s">
        <v>637</v>
      </c>
      <c r="C145">
        <v>16912</v>
      </c>
      <c r="D145">
        <v>1.67144976079951</v>
      </c>
      <c r="E145" s="1" t="s">
        <v>638</v>
      </c>
      <c r="F145" t="s">
        <v>639</v>
      </c>
    </row>
    <row r="146" spans="1:6" x14ac:dyDescent="0.3">
      <c r="A146" t="s">
        <v>640</v>
      </c>
      <c r="B146" t="s">
        <v>641</v>
      </c>
      <c r="C146">
        <v>71607</v>
      </c>
      <c r="D146">
        <v>1.6476153927080199</v>
      </c>
      <c r="E146">
        <v>1.5212381637100999E-2</v>
      </c>
      <c r="F146" t="s">
        <v>642</v>
      </c>
    </row>
    <row r="147" spans="1:6" x14ac:dyDescent="0.3">
      <c r="A147" t="s">
        <v>643</v>
      </c>
      <c r="B147" t="s">
        <v>644</v>
      </c>
      <c r="C147">
        <v>16948</v>
      </c>
      <c r="D147">
        <v>1.6436525412295599</v>
      </c>
      <c r="E147">
        <v>7.2218664421734797E-3</v>
      </c>
      <c r="F147" t="s">
        <v>645</v>
      </c>
    </row>
    <row r="148" spans="1:6" x14ac:dyDescent="0.3">
      <c r="A148" t="s">
        <v>646</v>
      </c>
      <c r="B148" t="s">
        <v>647</v>
      </c>
      <c r="C148">
        <v>319171</v>
      </c>
      <c r="D148">
        <v>1.6345825860152801</v>
      </c>
      <c r="E148">
        <v>1.0970167061546699E-2</v>
      </c>
      <c r="F148" t="s">
        <v>648</v>
      </c>
    </row>
    <row r="149" spans="1:6" x14ac:dyDescent="0.3">
      <c r="A149" t="s">
        <v>649</v>
      </c>
      <c r="B149" t="s">
        <v>650</v>
      </c>
      <c r="C149">
        <v>226691</v>
      </c>
      <c r="D149">
        <v>1.6273005421895801</v>
      </c>
      <c r="E149" s="1" t="s">
        <v>651</v>
      </c>
      <c r="F149" t="s">
        <v>652</v>
      </c>
    </row>
    <row r="150" spans="1:6" x14ac:dyDescent="0.3">
      <c r="A150" t="s">
        <v>653</v>
      </c>
      <c r="B150" t="s">
        <v>654</v>
      </c>
      <c r="C150">
        <v>65221</v>
      </c>
      <c r="D150">
        <v>1.6267083952175301</v>
      </c>
      <c r="E150">
        <v>1.1000245843745799E-2</v>
      </c>
      <c r="F150" t="s">
        <v>655</v>
      </c>
    </row>
    <row r="151" spans="1:6" x14ac:dyDescent="0.3">
      <c r="A151" t="s">
        <v>656</v>
      </c>
      <c r="B151" t="s">
        <v>657</v>
      </c>
      <c r="C151">
        <v>56620</v>
      </c>
      <c r="D151">
        <v>1.62402108109133</v>
      </c>
      <c r="E151">
        <v>3.5759522290283001E-3</v>
      </c>
      <c r="F151" t="s">
        <v>658</v>
      </c>
    </row>
    <row r="152" spans="1:6" x14ac:dyDescent="0.3">
      <c r="A152" t="s">
        <v>659</v>
      </c>
      <c r="B152" t="s">
        <v>660</v>
      </c>
      <c r="C152">
        <v>100039796</v>
      </c>
      <c r="D152">
        <v>1.6228030995065701</v>
      </c>
      <c r="E152" s="1" t="s">
        <v>661</v>
      </c>
      <c r="F152" t="s">
        <v>662</v>
      </c>
    </row>
    <row r="153" spans="1:6" x14ac:dyDescent="0.3">
      <c r="A153" t="s">
        <v>663</v>
      </c>
      <c r="B153" t="s">
        <v>664</v>
      </c>
      <c r="C153">
        <v>229900</v>
      </c>
      <c r="D153">
        <v>1.61755966220634</v>
      </c>
      <c r="E153" s="1" t="s">
        <v>665</v>
      </c>
      <c r="F153" t="s">
        <v>666</v>
      </c>
    </row>
    <row r="154" spans="1:6" x14ac:dyDescent="0.3">
      <c r="A154" t="s">
        <v>667</v>
      </c>
      <c r="B154" t="s">
        <v>668</v>
      </c>
      <c r="C154">
        <v>107765</v>
      </c>
      <c r="D154">
        <v>1.6139232782758599</v>
      </c>
      <c r="E154" s="1" t="s">
        <v>669</v>
      </c>
      <c r="F154" t="s">
        <v>670</v>
      </c>
    </row>
    <row r="155" spans="1:6" x14ac:dyDescent="0.3">
      <c r="A155" t="s">
        <v>671</v>
      </c>
      <c r="B155" t="s">
        <v>672</v>
      </c>
      <c r="C155">
        <v>15951</v>
      </c>
      <c r="D155">
        <v>1.61154479859327</v>
      </c>
      <c r="E155">
        <v>1.29231441430824E-3</v>
      </c>
      <c r="F155" t="s">
        <v>673</v>
      </c>
    </row>
    <row r="156" spans="1:6" x14ac:dyDescent="0.3">
      <c r="A156" t="s">
        <v>674</v>
      </c>
      <c r="B156" t="s">
        <v>675</v>
      </c>
      <c r="C156">
        <v>12506</v>
      </c>
      <c r="D156">
        <v>1.61033283380285</v>
      </c>
      <c r="E156">
        <v>5.77730681947769E-3</v>
      </c>
      <c r="F156" t="s">
        <v>676</v>
      </c>
    </row>
    <row r="157" spans="1:6" x14ac:dyDescent="0.3">
      <c r="A157" t="s">
        <v>677</v>
      </c>
      <c r="B157" t="s">
        <v>678</v>
      </c>
      <c r="C157">
        <v>194231</v>
      </c>
      <c r="D157">
        <v>1.60490374154647</v>
      </c>
      <c r="E157" s="1" t="s">
        <v>679</v>
      </c>
      <c r="F157" t="s">
        <v>680</v>
      </c>
    </row>
    <row r="158" spans="1:6" x14ac:dyDescent="0.3">
      <c r="A158" t="s">
        <v>681</v>
      </c>
      <c r="B158" t="s">
        <v>682</v>
      </c>
      <c r="C158">
        <v>19039</v>
      </c>
      <c r="D158">
        <v>1.6031418019774999</v>
      </c>
      <c r="E158" s="1" t="s">
        <v>683</v>
      </c>
      <c r="F158" t="s">
        <v>684</v>
      </c>
    </row>
    <row r="159" spans="1:6" x14ac:dyDescent="0.3">
      <c r="A159" t="s">
        <v>685</v>
      </c>
      <c r="B159" t="s">
        <v>686</v>
      </c>
      <c r="C159">
        <v>12508</v>
      </c>
      <c r="D159">
        <v>1.6029758583823599</v>
      </c>
      <c r="E159">
        <v>5.0188059523628204E-4</v>
      </c>
      <c r="F159" t="s">
        <v>687</v>
      </c>
    </row>
    <row r="160" spans="1:6" x14ac:dyDescent="0.3">
      <c r="A160" t="s">
        <v>688</v>
      </c>
      <c r="B160" t="s">
        <v>689</v>
      </c>
      <c r="C160">
        <v>277744</v>
      </c>
      <c r="D160">
        <v>1.6015318576512501</v>
      </c>
      <c r="E160">
        <v>4.75952501165735E-2</v>
      </c>
      <c r="F160" t="s">
        <v>690</v>
      </c>
    </row>
    <row r="161" spans="1:6" x14ac:dyDescent="0.3">
      <c r="A161" t="s">
        <v>691</v>
      </c>
      <c r="B161" t="s">
        <v>692</v>
      </c>
      <c r="C161">
        <v>14469</v>
      </c>
      <c r="D161">
        <v>1.59500877505659</v>
      </c>
      <c r="E161" s="1" t="s">
        <v>170</v>
      </c>
      <c r="F161" t="s">
        <v>693</v>
      </c>
    </row>
    <row r="162" spans="1:6" x14ac:dyDescent="0.3">
      <c r="A162" t="s">
        <v>694</v>
      </c>
      <c r="B162" t="s">
        <v>695</v>
      </c>
      <c r="C162">
        <v>226695</v>
      </c>
      <c r="D162">
        <v>1.5933073851712101</v>
      </c>
      <c r="E162" s="1" t="s">
        <v>696</v>
      </c>
      <c r="F162" t="s">
        <v>697</v>
      </c>
    </row>
    <row r="163" spans="1:6" x14ac:dyDescent="0.3">
      <c r="A163" t="s">
        <v>698</v>
      </c>
      <c r="B163" t="s">
        <v>699</v>
      </c>
      <c r="C163">
        <v>107684</v>
      </c>
      <c r="D163">
        <v>1.59223553186879</v>
      </c>
      <c r="E163">
        <v>2.8684497579162801E-2</v>
      </c>
      <c r="F163" t="s">
        <v>700</v>
      </c>
    </row>
    <row r="164" spans="1:6" x14ac:dyDescent="0.3">
      <c r="A164" t="s">
        <v>701</v>
      </c>
      <c r="B164" t="s">
        <v>702</v>
      </c>
      <c r="C164">
        <v>12702</v>
      </c>
      <c r="D164">
        <v>1.59116286556599</v>
      </c>
      <c r="E164">
        <v>1.6121573055324499E-3</v>
      </c>
      <c r="F164" t="s">
        <v>703</v>
      </c>
    </row>
    <row r="165" spans="1:6" x14ac:dyDescent="0.3">
      <c r="A165" t="s">
        <v>704</v>
      </c>
      <c r="B165" t="s">
        <v>705</v>
      </c>
      <c r="C165">
        <v>110557</v>
      </c>
      <c r="D165">
        <v>1.59088520703356</v>
      </c>
      <c r="E165" s="1" t="s">
        <v>450</v>
      </c>
      <c r="F165" t="s">
        <v>706</v>
      </c>
    </row>
    <row r="166" spans="1:6" x14ac:dyDescent="0.3">
      <c r="A166" t="s">
        <v>707</v>
      </c>
      <c r="B166" t="s">
        <v>708</v>
      </c>
      <c r="C166">
        <v>20354</v>
      </c>
      <c r="D166">
        <v>1.5860984045947699</v>
      </c>
      <c r="E166">
        <v>2.01872737464447E-2</v>
      </c>
      <c r="F166" t="s">
        <v>709</v>
      </c>
    </row>
    <row r="167" spans="1:6" x14ac:dyDescent="0.3">
      <c r="A167" t="s">
        <v>710</v>
      </c>
      <c r="B167" t="s">
        <v>711</v>
      </c>
      <c r="C167">
        <v>108670</v>
      </c>
      <c r="D167">
        <v>1.5701381398104399</v>
      </c>
      <c r="E167">
        <v>7.2482709072825401E-3</v>
      </c>
      <c r="F167" t="s">
        <v>712</v>
      </c>
    </row>
    <row r="168" spans="1:6" x14ac:dyDescent="0.3">
      <c r="A168" t="s">
        <v>713</v>
      </c>
      <c r="B168" t="s">
        <v>714</v>
      </c>
      <c r="C168">
        <v>15039</v>
      </c>
      <c r="D168">
        <v>1.56275586562109</v>
      </c>
      <c r="E168" s="1" t="s">
        <v>715</v>
      </c>
      <c r="F168" t="s">
        <v>716</v>
      </c>
    </row>
    <row r="169" spans="1:6" x14ac:dyDescent="0.3">
      <c r="A169" t="s">
        <v>129</v>
      </c>
      <c r="B169" t="s">
        <v>128</v>
      </c>
      <c r="C169">
        <v>12772</v>
      </c>
      <c r="D169">
        <v>1.55636003007533</v>
      </c>
      <c r="E169">
        <v>2.6339954982174899E-2</v>
      </c>
      <c r="F169" t="s">
        <v>717</v>
      </c>
    </row>
    <row r="170" spans="1:6" x14ac:dyDescent="0.3">
      <c r="A170" t="s">
        <v>718</v>
      </c>
      <c r="B170" t="s">
        <v>719</v>
      </c>
      <c r="C170">
        <v>22324</v>
      </c>
      <c r="D170">
        <v>1.55574857146737</v>
      </c>
      <c r="E170">
        <v>1.53455349971535E-2</v>
      </c>
      <c r="F170" t="s">
        <v>720</v>
      </c>
    </row>
    <row r="171" spans="1:6" x14ac:dyDescent="0.3">
      <c r="A171" t="s">
        <v>721</v>
      </c>
      <c r="B171" t="s">
        <v>722</v>
      </c>
      <c r="C171">
        <v>20375</v>
      </c>
      <c r="D171">
        <v>1.5416062407087601</v>
      </c>
      <c r="E171" s="1" t="s">
        <v>723</v>
      </c>
      <c r="F171" t="s">
        <v>724</v>
      </c>
    </row>
    <row r="172" spans="1:6" x14ac:dyDescent="0.3">
      <c r="A172" t="s">
        <v>725</v>
      </c>
      <c r="B172" t="s">
        <v>726</v>
      </c>
      <c r="C172">
        <v>232413</v>
      </c>
      <c r="D172">
        <v>1.54089009954206</v>
      </c>
      <c r="E172">
        <v>7.8177172257118605E-4</v>
      </c>
      <c r="F172" t="s">
        <v>727</v>
      </c>
    </row>
    <row r="173" spans="1:6" x14ac:dyDescent="0.3">
      <c r="A173" t="s">
        <v>728</v>
      </c>
      <c r="B173" t="s">
        <v>729</v>
      </c>
      <c r="C173">
        <v>234311</v>
      </c>
      <c r="D173">
        <v>1.53164894468401</v>
      </c>
      <c r="E173">
        <v>6.7422706907157399E-4</v>
      </c>
      <c r="F173" t="s">
        <v>730</v>
      </c>
    </row>
    <row r="174" spans="1:6" x14ac:dyDescent="0.3">
      <c r="A174" t="s">
        <v>731</v>
      </c>
      <c r="B174" t="s">
        <v>732</v>
      </c>
      <c r="C174">
        <v>55932</v>
      </c>
      <c r="D174">
        <v>1.5309369474857</v>
      </c>
      <c r="E174" s="1" t="s">
        <v>733</v>
      </c>
      <c r="F174" t="s">
        <v>734</v>
      </c>
    </row>
    <row r="175" spans="1:6" x14ac:dyDescent="0.3">
      <c r="A175" t="s">
        <v>735</v>
      </c>
      <c r="B175" t="s">
        <v>736</v>
      </c>
      <c r="C175">
        <v>98365</v>
      </c>
      <c r="D175">
        <v>1.53041510941335</v>
      </c>
      <c r="E175">
        <v>1.2883022052608499E-4</v>
      </c>
      <c r="F175" t="s">
        <v>737</v>
      </c>
    </row>
    <row r="176" spans="1:6" x14ac:dyDescent="0.3">
      <c r="A176" t="s">
        <v>738</v>
      </c>
      <c r="B176" t="s">
        <v>739</v>
      </c>
      <c r="C176">
        <v>319446</v>
      </c>
      <c r="D176">
        <v>1.52545368054871</v>
      </c>
      <c r="E176">
        <v>3.4822261700628097E-2</v>
      </c>
      <c r="F176" t="s">
        <v>740</v>
      </c>
    </row>
    <row r="177" spans="1:6" x14ac:dyDescent="0.3">
      <c r="A177" t="s">
        <v>741</v>
      </c>
      <c r="B177" t="s">
        <v>742</v>
      </c>
      <c r="C177">
        <v>268709</v>
      </c>
      <c r="D177">
        <v>1.51776454753881</v>
      </c>
      <c r="E177">
        <v>6.09043571310635E-3</v>
      </c>
      <c r="F177" t="s">
        <v>743</v>
      </c>
    </row>
    <row r="178" spans="1:6" x14ac:dyDescent="0.3">
      <c r="A178" t="s">
        <v>744</v>
      </c>
      <c r="B178" t="s">
        <v>745</v>
      </c>
      <c r="C178">
        <v>19200</v>
      </c>
      <c r="D178">
        <v>1.5115361936068901</v>
      </c>
      <c r="E178">
        <v>1.7141413176425702E-2</v>
      </c>
      <c r="F178" t="s">
        <v>746</v>
      </c>
    </row>
    <row r="179" spans="1:6" x14ac:dyDescent="0.3">
      <c r="A179" t="s">
        <v>747</v>
      </c>
      <c r="B179" t="s">
        <v>748</v>
      </c>
      <c r="C179">
        <v>17768</v>
      </c>
      <c r="D179">
        <v>1.51140611629822</v>
      </c>
      <c r="E179" s="1" t="s">
        <v>749</v>
      </c>
      <c r="F179" t="s">
        <v>750</v>
      </c>
    </row>
    <row r="180" spans="1:6" x14ac:dyDescent="0.3">
      <c r="A180" t="s">
        <v>751</v>
      </c>
      <c r="B180" t="s">
        <v>752</v>
      </c>
      <c r="C180">
        <v>15018</v>
      </c>
      <c r="D180">
        <v>1.5101724873512901</v>
      </c>
      <c r="E180" s="1" t="s">
        <v>753</v>
      </c>
      <c r="F180" t="s">
        <v>754</v>
      </c>
    </row>
    <row r="181" spans="1:6" x14ac:dyDescent="0.3">
      <c r="A181" t="s">
        <v>755</v>
      </c>
      <c r="B181" t="s">
        <v>756</v>
      </c>
      <c r="C181">
        <v>69564</v>
      </c>
      <c r="D181">
        <v>1.50811790632793</v>
      </c>
      <c r="E181" s="1" t="s">
        <v>757</v>
      </c>
      <c r="F181" t="s">
        <v>758</v>
      </c>
    </row>
    <row r="182" spans="1:6" x14ac:dyDescent="0.3">
      <c r="A182" t="s">
        <v>101</v>
      </c>
      <c r="B182" t="s">
        <v>100</v>
      </c>
      <c r="C182">
        <v>16154</v>
      </c>
      <c r="D182">
        <v>1.5053525212013199</v>
      </c>
      <c r="E182">
        <v>1.1910634135632299E-3</v>
      </c>
      <c r="F182" t="s">
        <v>759</v>
      </c>
    </row>
    <row r="183" spans="1:6" x14ac:dyDescent="0.3">
      <c r="A183" t="s">
        <v>760</v>
      </c>
      <c r="B183" t="s">
        <v>761</v>
      </c>
      <c r="C183">
        <v>381308</v>
      </c>
      <c r="D183">
        <v>1.50189739447148</v>
      </c>
      <c r="E183">
        <v>3.2746309074459202E-4</v>
      </c>
      <c r="F183" t="s">
        <v>762</v>
      </c>
    </row>
    <row r="184" spans="1:6" x14ac:dyDescent="0.3">
      <c r="A184" t="s">
        <v>763</v>
      </c>
      <c r="B184" t="s">
        <v>764</v>
      </c>
      <c r="C184">
        <v>16988</v>
      </c>
      <c r="D184">
        <v>1.4791995214033899</v>
      </c>
      <c r="E184" s="1" t="s">
        <v>765</v>
      </c>
      <c r="F184" t="s">
        <v>766</v>
      </c>
    </row>
    <row r="185" spans="1:6" x14ac:dyDescent="0.3">
      <c r="A185" t="s">
        <v>767</v>
      </c>
      <c r="B185" t="s">
        <v>768</v>
      </c>
      <c r="C185">
        <v>27226</v>
      </c>
      <c r="D185">
        <v>1.4740088833540601</v>
      </c>
      <c r="E185">
        <v>1.25244134190609E-3</v>
      </c>
      <c r="F185" t="s">
        <v>769</v>
      </c>
    </row>
    <row r="186" spans="1:6" x14ac:dyDescent="0.3">
      <c r="A186" t="s">
        <v>770</v>
      </c>
      <c r="B186" t="s">
        <v>771</v>
      </c>
      <c r="C186">
        <v>434341</v>
      </c>
      <c r="D186">
        <v>1.46587395715629</v>
      </c>
      <c r="E186">
        <v>9.3820859165836996E-3</v>
      </c>
      <c r="F186" t="s">
        <v>772</v>
      </c>
    </row>
    <row r="187" spans="1:6" x14ac:dyDescent="0.3">
      <c r="A187" t="s">
        <v>773</v>
      </c>
      <c r="B187" t="s">
        <v>774</v>
      </c>
      <c r="C187">
        <v>60533</v>
      </c>
      <c r="D187">
        <v>1.4649922322290301</v>
      </c>
      <c r="E187">
        <v>3.4352486622747699E-3</v>
      </c>
      <c r="F187" t="s">
        <v>775</v>
      </c>
    </row>
    <row r="188" spans="1:6" x14ac:dyDescent="0.3">
      <c r="A188" t="s">
        <v>776</v>
      </c>
      <c r="B188" t="s">
        <v>777</v>
      </c>
      <c r="C188">
        <v>23962</v>
      </c>
      <c r="D188">
        <v>1.4646304212527199</v>
      </c>
      <c r="E188">
        <v>1.7475969169501E-3</v>
      </c>
      <c r="F188" t="s">
        <v>778</v>
      </c>
    </row>
    <row r="189" spans="1:6" x14ac:dyDescent="0.3">
      <c r="A189" t="s">
        <v>779</v>
      </c>
      <c r="B189" t="s">
        <v>780</v>
      </c>
      <c r="C189">
        <v>13733</v>
      </c>
      <c r="D189">
        <v>1.46302111430391</v>
      </c>
      <c r="E189" s="1" t="s">
        <v>781</v>
      </c>
      <c r="F189" t="s">
        <v>782</v>
      </c>
    </row>
    <row r="190" spans="1:6" x14ac:dyDescent="0.3">
      <c r="A190" t="s">
        <v>783</v>
      </c>
      <c r="B190" t="s">
        <v>784</v>
      </c>
      <c r="C190">
        <v>54354</v>
      </c>
      <c r="D190">
        <v>1.4613861932162699</v>
      </c>
      <c r="E190">
        <v>3.0805940946425601E-2</v>
      </c>
      <c r="F190" t="s">
        <v>785</v>
      </c>
    </row>
    <row r="191" spans="1:6" x14ac:dyDescent="0.3">
      <c r="A191" t="s">
        <v>786</v>
      </c>
      <c r="B191" t="s">
        <v>787</v>
      </c>
      <c r="C191">
        <v>27052</v>
      </c>
      <c r="D191">
        <v>1.46022195541634</v>
      </c>
      <c r="E191">
        <v>1.82342790137268E-2</v>
      </c>
      <c r="F191" t="s">
        <v>788</v>
      </c>
    </row>
    <row r="192" spans="1:6" x14ac:dyDescent="0.3">
      <c r="A192" t="s">
        <v>789</v>
      </c>
      <c r="B192" t="s">
        <v>790</v>
      </c>
      <c r="C192">
        <v>72925</v>
      </c>
      <c r="D192">
        <v>1.4550225061569499</v>
      </c>
      <c r="E192">
        <v>2.9949217178259602E-2</v>
      </c>
      <c r="F192" t="s">
        <v>791</v>
      </c>
    </row>
    <row r="193" spans="1:6" x14ac:dyDescent="0.3">
      <c r="A193" t="s">
        <v>792</v>
      </c>
      <c r="B193" t="s">
        <v>793</v>
      </c>
      <c r="C193">
        <v>52855</v>
      </c>
      <c r="D193">
        <v>1.4547613695967201</v>
      </c>
      <c r="E193">
        <v>4.4576287456203602E-2</v>
      </c>
      <c r="F193" t="s">
        <v>794</v>
      </c>
    </row>
    <row r="194" spans="1:6" x14ac:dyDescent="0.3">
      <c r="A194" t="s">
        <v>795</v>
      </c>
      <c r="B194" t="s">
        <v>796</v>
      </c>
      <c r="C194">
        <v>104759</v>
      </c>
      <c r="D194">
        <v>1.4421224547592999</v>
      </c>
      <c r="E194" s="1" t="s">
        <v>797</v>
      </c>
      <c r="F194" t="s">
        <v>798</v>
      </c>
    </row>
    <row r="195" spans="1:6" x14ac:dyDescent="0.3">
      <c r="A195" t="s">
        <v>799</v>
      </c>
      <c r="B195" t="s">
        <v>800</v>
      </c>
      <c r="C195">
        <v>72275</v>
      </c>
      <c r="D195">
        <v>1.4405445355543101</v>
      </c>
      <c r="E195">
        <v>1.3551418210268401E-2</v>
      </c>
      <c r="F195" t="s">
        <v>801</v>
      </c>
    </row>
    <row r="196" spans="1:6" x14ac:dyDescent="0.3">
      <c r="A196" t="s">
        <v>802</v>
      </c>
      <c r="B196" t="s">
        <v>803</v>
      </c>
      <c r="C196">
        <v>11625</v>
      </c>
      <c r="D196">
        <v>1.44036650943716</v>
      </c>
      <c r="E196">
        <v>2.8036897466600701E-2</v>
      </c>
      <c r="F196" t="s">
        <v>804</v>
      </c>
    </row>
    <row r="197" spans="1:6" x14ac:dyDescent="0.3">
      <c r="A197" t="s">
        <v>805</v>
      </c>
      <c r="B197" t="s">
        <v>806</v>
      </c>
      <c r="C197">
        <v>18733</v>
      </c>
      <c r="D197">
        <v>1.4385477968846101</v>
      </c>
      <c r="E197">
        <v>4.2562474436229098E-4</v>
      </c>
      <c r="F197" t="s">
        <v>807</v>
      </c>
    </row>
    <row r="198" spans="1:6" x14ac:dyDescent="0.3">
      <c r="A198" t="s">
        <v>808</v>
      </c>
      <c r="B198" t="s">
        <v>809</v>
      </c>
      <c r="C198">
        <v>14229</v>
      </c>
      <c r="D198">
        <v>1.4321141023283901</v>
      </c>
      <c r="E198" s="1" t="s">
        <v>810</v>
      </c>
      <c r="F198" t="s">
        <v>811</v>
      </c>
    </row>
    <row r="199" spans="1:6" x14ac:dyDescent="0.3">
      <c r="A199" t="s">
        <v>812</v>
      </c>
      <c r="B199" t="s">
        <v>813</v>
      </c>
      <c r="C199">
        <v>12721</v>
      </c>
      <c r="D199">
        <v>1.4310105469014101</v>
      </c>
      <c r="E199">
        <v>1.4128185347827399E-4</v>
      </c>
      <c r="F199" t="s">
        <v>814</v>
      </c>
    </row>
    <row r="200" spans="1:6" x14ac:dyDescent="0.3">
      <c r="A200" t="s">
        <v>815</v>
      </c>
      <c r="B200" t="s">
        <v>816</v>
      </c>
      <c r="C200">
        <v>14421</v>
      </c>
      <c r="D200">
        <v>1.42936132631028</v>
      </c>
      <c r="E200">
        <v>1.02965264010759E-2</v>
      </c>
      <c r="F200" t="s">
        <v>817</v>
      </c>
    </row>
    <row r="201" spans="1:6" x14ac:dyDescent="0.3">
      <c r="A201" t="s">
        <v>33</v>
      </c>
      <c r="B201" t="s">
        <v>32</v>
      </c>
      <c r="C201">
        <v>20308</v>
      </c>
      <c r="D201">
        <v>1.41657212645796</v>
      </c>
      <c r="E201">
        <v>3.2548383015383801E-3</v>
      </c>
      <c r="F201" t="s">
        <v>818</v>
      </c>
    </row>
    <row r="202" spans="1:6" x14ac:dyDescent="0.3">
      <c r="A202" t="s">
        <v>819</v>
      </c>
      <c r="B202" t="s">
        <v>820</v>
      </c>
      <c r="C202">
        <v>20491</v>
      </c>
      <c r="D202">
        <v>1.4116678272548699</v>
      </c>
      <c r="E202">
        <v>3.2837880321747399E-2</v>
      </c>
      <c r="F202" t="s">
        <v>821</v>
      </c>
    </row>
    <row r="203" spans="1:6" x14ac:dyDescent="0.3">
      <c r="A203" t="s">
        <v>822</v>
      </c>
      <c r="B203" t="s">
        <v>823</v>
      </c>
      <c r="C203">
        <v>71586</v>
      </c>
      <c r="D203">
        <v>1.41030118171688</v>
      </c>
      <c r="E203" s="1" t="s">
        <v>824</v>
      </c>
      <c r="F203" t="s">
        <v>825</v>
      </c>
    </row>
    <row r="204" spans="1:6" x14ac:dyDescent="0.3">
      <c r="A204" t="s">
        <v>826</v>
      </c>
      <c r="B204" t="s">
        <v>827</v>
      </c>
      <c r="C204">
        <v>20202</v>
      </c>
      <c r="D204">
        <v>1.40860413969746</v>
      </c>
      <c r="E204">
        <v>4.54145339424943E-4</v>
      </c>
      <c r="F204" t="s">
        <v>828</v>
      </c>
    </row>
    <row r="205" spans="1:6" x14ac:dyDescent="0.3">
      <c r="A205" t="s">
        <v>829</v>
      </c>
      <c r="B205" t="s">
        <v>830</v>
      </c>
      <c r="C205">
        <v>20201</v>
      </c>
      <c r="D205">
        <v>1.40524908269468</v>
      </c>
      <c r="E205">
        <v>6.4880740840294205E-4</v>
      </c>
      <c r="F205" t="s">
        <v>831</v>
      </c>
    </row>
    <row r="206" spans="1:6" x14ac:dyDescent="0.3">
      <c r="A206" t="s">
        <v>832</v>
      </c>
      <c r="B206" t="s">
        <v>833</v>
      </c>
      <c r="C206">
        <v>13078</v>
      </c>
      <c r="D206">
        <v>1.40312369183698</v>
      </c>
      <c r="E206">
        <v>2.08132983427041E-3</v>
      </c>
      <c r="F206" t="s">
        <v>834</v>
      </c>
    </row>
    <row r="207" spans="1:6" x14ac:dyDescent="0.3">
      <c r="A207" t="s">
        <v>835</v>
      </c>
      <c r="B207" t="s">
        <v>836</v>
      </c>
      <c r="C207">
        <v>217203</v>
      </c>
      <c r="D207">
        <v>1.39525296312846</v>
      </c>
      <c r="E207">
        <v>1.55373692144491E-3</v>
      </c>
      <c r="F207" t="s">
        <v>837</v>
      </c>
    </row>
    <row r="208" spans="1:6" x14ac:dyDescent="0.3">
      <c r="A208" t="s">
        <v>838</v>
      </c>
      <c r="B208" t="s">
        <v>839</v>
      </c>
      <c r="C208">
        <v>76933</v>
      </c>
      <c r="D208">
        <v>1.38732081970694</v>
      </c>
      <c r="E208">
        <v>1.0970167061546699E-2</v>
      </c>
      <c r="F208" t="s">
        <v>840</v>
      </c>
    </row>
    <row r="209" spans="1:6" x14ac:dyDescent="0.3">
      <c r="A209" t="s">
        <v>841</v>
      </c>
      <c r="B209" t="s">
        <v>842</v>
      </c>
      <c r="C209">
        <v>18987</v>
      </c>
      <c r="D209">
        <v>1.37390432270674</v>
      </c>
      <c r="E209">
        <v>6.0536950981878097E-4</v>
      </c>
      <c r="F209" t="s">
        <v>843</v>
      </c>
    </row>
    <row r="210" spans="1:6" x14ac:dyDescent="0.3">
      <c r="A210" t="s">
        <v>844</v>
      </c>
      <c r="B210" t="s">
        <v>845</v>
      </c>
      <c r="C210">
        <v>75750</v>
      </c>
      <c r="D210">
        <v>1.3692988371610699</v>
      </c>
      <c r="E210">
        <v>1.4861179175131101E-3</v>
      </c>
      <c r="F210" t="s">
        <v>846</v>
      </c>
    </row>
    <row r="211" spans="1:6" x14ac:dyDescent="0.3">
      <c r="A211" t="s">
        <v>847</v>
      </c>
      <c r="B211" t="s">
        <v>848</v>
      </c>
      <c r="C211">
        <v>22177</v>
      </c>
      <c r="D211">
        <v>1.3629115487133301</v>
      </c>
      <c r="E211" s="1" t="s">
        <v>849</v>
      </c>
      <c r="F211" t="s">
        <v>850</v>
      </c>
    </row>
    <row r="212" spans="1:6" x14ac:dyDescent="0.3">
      <c r="A212" t="s">
        <v>851</v>
      </c>
      <c r="B212" t="s">
        <v>852</v>
      </c>
      <c r="C212" t="s">
        <v>219</v>
      </c>
      <c r="D212">
        <v>1.3600308214768999</v>
      </c>
      <c r="E212" s="1" t="s">
        <v>853</v>
      </c>
      <c r="F212" t="s">
        <v>854</v>
      </c>
    </row>
    <row r="213" spans="1:6" x14ac:dyDescent="0.3">
      <c r="A213" t="s">
        <v>855</v>
      </c>
      <c r="B213" t="s">
        <v>856</v>
      </c>
      <c r="C213">
        <v>20289</v>
      </c>
      <c r="D213">
        <v>1.3597786859697101</v>
      </c>
      <c r="E213">
        <v>5.0188059523628204E-4</v>
      </c>
      <c r="F213" t="s">
        <v>857</v>
      </c>
    </row>
    <row r="214" spans="1:6" x14ac:dyDescent="0.3">
      <c r="A214" t="s">
        <v>858</v>
      </c>
      <c r="B214" t="s">
        <v>859</v>
      </c>
      <c r="C214">
        <v>12514</v>
      </c>
      <c r="D214">
        <v>1.3520525719546499</v>
      </c>
      <c r="E214">
        <v>1.05858089514705E-3</v>
      </c>
      <c r="F214" t="s">
        <v>860</v>
      </c>
    </row>
    <row r="215" spans="1:6" x14ac:dyDescent="0.3">
      <c r="A215" t="s">
        <v>861</v>
      </c>
      <c r="B215" t="s">
        <v>862</v>
      </c>
      <c r="C215">
        <v>20556</v>
      </c>
      <c r="D215">
        <v>1.3419896917424301</v>
      </c>
      <c r="E215">
        <v>4.1589664284817501E-3</v>
      </c>
      <c r="F215" t="s">
        <v>863</v>
      </c>
    </row>
    <row r="216" spans="1:6" x14ac:dyDescent="0.3">
      <c r="A216" t="s">
        <v>864</v>
      </c>
      <c r="B216" t="s">
        <v>865</v>
      </c>
      <c r="C216">
        <v>12010</v>
      </c>
      <c r="D216">
        <v>1.34195162016011</v>
      </c>
      <c r="E216" s="1" t="s">
        <v>866</v>
      </c>
      <c r="F216" t="s">
        <v>867</v>
      </c>
    </row>
    <row r="217" spans="1:6" x14ac:dyDescent="0.3">
      <c r="A217" t="s">
        <v>868</v>
      </c>
      <c r="B217" t="s">
        <v>869</v>
      </c>
      <c r="C217">
        <v>14857</v>
      </c>
      <c r="D217">
        <v>1.33995681346052</v>
      </c>
      <c r="E217">
        <v>7.8519786154171503E-3</v>
      </c>
      <c r="F217" t="s">
        <v>870</v>
      </c>
    </row>
    <row r="218" spans="1:6" x14ac:dyDescent="0.3">
      <c r="A218" t="s">
        <v>871</v>
      </c>
      <c r="B218" t="s">
        <v>872</v>
      </c>
      <c r="C218">
        <v>237560</v>
      </c>
      <c r="D218">
        <v>1.33839044772132</v>
      </c>
      <c r="E218" s="1" t="s">
        <v>873</v>
      </c>
      <c r="F218" t="s">
        <v>874</v>
      </c>
    </row>
    <row r="219" spans="1:6" x14ac:dyDescent="0.3">
      <c r="A219" t="s">
        <v>875</v>
      </c>
      <c r="B219" t="s">
        <v>876</v>
      </c>
      <c r="C219">
        <v>665433</v>
      </c>
      <c r="D219">
        <v>1.3343941575732201</v>
      </c>
      <c r="E219">
        <v>1.92733690368917E-2</v>
      </c>
      <c r="F219" t="s">
        <v>877</v>
      </c>
    </row>
    <row r="220" spans="1:6" x14ac:dyDescent="0.3">
      <c r="A220" t="s">
        <v>878</v>
      </c>
      <c r="B220" t="s">
        <v>879</v>
      </c>
      <c r="C220">
        <v>22169</v>
      </c>
      <c r="D220">
        <v>1.3316531916313901</v>
      </c>
      <c r="E220">
        <v>2.6904553525959698E-3</v>
      </c>
      <c r="F220" t="s">
        <v>880</v>
      </c>
    </row>
    <row r="221" spans="1:6" x14ac:dyDescent="0.3">
      <c r="A221" t="s">
        <v>881</v>
      </c>
      <c r="B221" t="s">
        <v>882</v>
      </c>
      <c r="C221">
        <v>23900</v>
      </c>
      <c r="D221">
        <v>1.3272208537296999</v>
      </c>
      <c r="E221">
        <v>4.8457559914802398E-2</v>
      </c>
      <c r="F221" t="s">
        <v>883</v>
      </c>
    </row>
    <row r="222" spans="1:6" x14ac:dyDescent="0.3">
      <c r="A222" t="s">
        <v>884</v>
      </c>
      <c r="B222" t="s">
        <v>885</v>
      </c>
      <c r="C222">
        <v>23961</v>
      </c>
      <c r="D222">
        <v>1.32365278060724</v>
      </c>
      <c r="E222">
        <v>1.10528457129795E-2</v>
      </c>
      <c r="F222" t="s">
        <v>886</v>
      </c>
    </row>
    <row r="223" spans="1:6" x14ac:dyDescent="0.3">
      <c r="A223" t="s">
        <v>887</v>
      </c>
      <c r="B223" t="s">
        <v>888</v>
      </c>
      <c r="C223">
        <v>15368</v>
      </c>
      <c r="D223">
        <v>1.30606238027251</v>
      </c>
      <c r="E223" s="1" t="s">
        <v>889</v>
      </c>
      <c r="F223" t="s">
        <v>890</v>
      </c>
    </row>
    <row r="224" spans="1:6" x14ac:dyDescent="0.3">
      <c r="A224" t="s">
        <v>891</v>
      </c>
      <c r="B224" t="s">
        <v>892</v>
      </c>
      <c r="C224">
        <v>71242</v>
      </c>
      <c r="D224">
        <v>1.29478170405694</v>
      </c>
      <c r="E224" s="1" t="s">
        <v>893</v>
      </c>
      <c r="F224" t="s">
        <v>894</v>
      </c>
    </row>
    <row r="225" spans="1:6" x14ac:dyDescent="0.3">
      <c r="A225" t="s">
        <v>895</v>
      </c>
      <c r="B225" t="s">
        <v>896</v>
      </c>
      <c r="C225">
        <v>15170</v>
      </c>
      <c r="D225">
        <v>1.29234467092156</v>
      </c>
      <c r="E225">
        <v>2.1459462937959201E-4</v>
      </c>
      <c r="F225" t="s">
        <v>897</v>
      </c>
    </row>
    <row r="226" spans="1:6" x14ac:dyDescent="0.3">
      <c r="A226" t="s">
        <v>898</v>
      </c>
      <c r="B226" t="s">
        <v>899</v>
      </c>
      <c r="C226">
        <v>209387</v>
      </c>
      <c r="D226">
        <v>1.2909247235790899</v>
      </c>
      <c r="E226">
        <v>2.87619107008215E-2</v>
      </c>
      <c r="F226" t="s">
        <v>900</v>
      </c>
    </row>
    <row r="227" spans="1:6" x14ac:dyDescent="0.3">
      <c r="A227" t="s">
        <v>901</v>
      </c>
      <c r="B227" t="s">
        <v>902</v>
      </c>
      <c r="C227">
        <v>16362</v>
      </c>
      <c r="D227">
        <v>1.28661502373842</v>
      </c>
      <c r="E227">
        <v>1.2713327242962099E-4</v>
      </c>
      <c r="F227" t="s">
        <v>903</v>
      </c>
    </row>
    <row r="228" spans="1:6" x14ac:dyDescent="0.3">
      <c r="A228" t="s">
        <v>904</v>
      </c>
      <c r="B228" t="s">
        <v>905</v>
      </c>
      <c r="C228">
        <v>671535</v>
      </c>
      <c r="D228">
        <v>1.2780595657149401</v>
      </c>
      <c r="E228" s="1" t="s">
        <v>906</v>
      </c>
      <c r="F228" t="s">
        <v>907</v>
      </c>
    </row>
    <row r="229" spans="1:6" x14ac:dyDescent="0.3">
      <c r="A229" t="s">
        <v>908</v>
      </c>
      <c r="B229" t="s">
        <v>909</v>
      </c>
      <c r="C229">
        <v>12260</v>
      </c>
      <c r="D229">
        <v>1.27042630557592</v>
      </c>
      <c r="E229" s="1" t="s">
        <v>910</v>
      </c>
      <c r="F229" t="s">
        <v>911</v>
      </c>
    </row>
    <row r="230" spans="1:6" x14ac:dyDescent="0.3">
      <c r="A230" t="s">
        <v>912</v>
      </c>
      <c r="B230" t="s">
        <v>913</v>
      </c>
      <c r="C230">
        <v>17110</v>
      </c>
      <c r="D230">
        <v>1.26954494454363</v>
      </c>
      <c r="E230" s="1" t="s">
        <v>914</v>
      </c>
      <c r="F230" t="s">
        <v>915</v>
      </c>
    </row>
    <row r="231" spans="1:6" x14ac:dyDescent="0.3">
      <c r="A231" t="s">
        <v>916</v>
      </c>
      <c r="B231" t="s">
        <v>917</v>
      </c>
      <c r="C231">
        <v>20589</v>
      </c>
      <c r="D231">
        <v>1.26836982303608</v>
      </c>
      <c r="E231">
        <v>2.3037871890868599E-2</v>
      </c>
      <c r="F231" t="s">
        <v>918</v>
      </c>
    </row>
    <row r="232" spans="1:6" x14ac:dyDescent="0.3">
      <c r="A232" t="s">
        <v>919</v>
      </c>
      <c r="B232" t="s">
        <v>920</v>
      </c>
      <c r="C232">
        <v>69769</v>
      </c>
      <c r="D232">
        <v>1.26605163740293</v>
      </c>
      <c r="E232">
        <v>6.5337551649451301E-3</v>
      </c>
      <c r="F232" t="s">
        <v>921</v>
      </c>
    </row>
    <row r="233" spans="1:6" x14ac:dyDescent="0.3">
      <c r="A233" t="s">
        <v>922</v>
      </c>
      <c r="B233" t="s">
        <v>923</v>
      </c>
      <c r="C233">
        <v>20288</v>
      </c>
      <c r="D233">
        <v>1.26412021631555</v>
      </c>
      <c r="E233">
        <v>2.49556550006441E-2</v>
      </c>
      <c r="F233" t="s">
        <v>924</v>
      </c>
    </row>
    <row r="234" spans="1:6" x14ac:dyDescent="0.3">
      <c r="A234" t="s">
        <v>925</v>
      </c>
      <c r="B234" t="s">
        <v>926</v>
      </c>
      <c r="C234">
        <v>246177</v>
      </c>
      <c r="D234">
        <v>1.2638335020684599</v>
      </c>
      <c r="E234">
        <v>1.8965992404219902E-2</v>
      </c>
      <c r="F234" t="s">
        <v>927</v>
      </c>
    </row>
    <row r="235" spans="1:6" x14ac:dyDescent="0.3">
      <c r="A235" t="s">
        <v>928</v>
      </c>
      <c r="B235" t="s">
        <v>929</v>
      </c>
      <c r="C235">
        <v>230787</v>
      </c>
      <c r="D235">
        <v>1.2533643192311601</v>
      </c>
      <c r="E235">
        <v>3.4989788645505997E-2</v>
      </c>
      <c r="F235" t="s">
        <v>930</v>
      </c>
    </row>
    <row r="236" spans="1:6" x14ac:dyDescent="0.3">
      <c r="A236" t="s">
        <v>931</v>
      </c>
      <c r="B236" t="s">
        <v>932</v>
      </c>
      <c r="C236">
        <v>69217</v>
      </c>
      <c r="D236">
        <v>1.25247192725889</v>
      </c>
      <c r="E236">
        <v>1.80966769600477E-2</v>
      </c>
      <c r="F236" t="s">
        <v>933</v>
      </c>
    </row>
    <row r="237" spans="1:6" x14ac:dyDescent="0.3">
      <c r="A237" t="s">
        <v>934</v>
      </c>
      <c r="B237" t="s">
        <v>935</v>
      </c>
      <c r="C237">
        <v>94214</v>
      </c>
      <c r="D237">
        <v>1.2385083110358299</v>
      </c>
      <c r="E237">
        <v>2.2737205482249901E-3</v>
      </c>
      <c r="F237" t="s">
        <v>936</v>
      </c>
    </row>
    <row r="238" spans="1:6" x14ac:dyDescent="0.3">
      <c r="A238" t="s">
        <v>937</v>
      </c>
      <c r="B238" t="s">
        <v>938</v>
      </c>
      <c r="C238">
        <v>24088</v>
      </c>
      <c r="D238">
        <v>1.23701920908538</v>
      </c>
      <c r="E238">
        <v>2.07711612674948E-2</v>
      </c>
      <c r="F238" t="s">
        <v>939</v>
      </c>
    </row>
    <row r="239" spans="1:6" x14ac:dyDescent="0.3">
      <c r="A239" t="s">
        <v>940</v>
      </c>
      <c r="B239" t="s">
        <v>941</v>
      </c>
      <c r="C239">
        <v>17748</v>
      </c>
      <c r="D239">
        <v>1.2365917547745999</v>
      </c>
      <c r="E239" s="1" t="s">
        <v>942</v>
      </c>
      <c r="F239" t="s">
        <v>943</v>
      </c>
    </row>
    <row r="240" spans="1:6" x14ac:dyDescent="0.3">
      <c r="A240" t="s">
        <v>944</v>
      </c>
      <c r="B240" t="s">
        <v>945</v>
      </c>
      <c r="C240">
        <v>67824</v>
      </c>
      <c r="D240">
        <v>1.23314881613847</v>
      </c>
      <c r="E240">
        <v>1.71860309975757E-4</v>
      </c>
      <c r="F240" t="s">
        <v>946</v>
      </c>
    </row>
    <row r="241" spans="1:6" x14ac:dyDescent="0.3">
      <c r="A241" t="s">
        <v>947</v>
      </c>
      <c r="B241" t="s">
        <v>948</v>
      </c>
      <c r="C241">
        <v>64685</v>
      </c>
      <c r="D241">
        <v>1.2283052166186901</v>
      </c>
      <c r="E241" s="1" t="s">
        <v>949</v>
      </c>
      <c r="F241" t="s">
        <v>950</v>
      </c>
    </row>
    <row r="242" spans="1:6" x14ac:dyDescent="0.3">
      <c r="A242" t="s">
        <v>951</v>
      </c>
      <c r="B242" t="s">
        <v>952</v>
      </c>
      <c r="C242">
        <v>16068</v>
      </c>
      <c r="D242">
        <v>1.2235842098562999</v>
      </c>
      <c r="E242" s="1" t="s">
        <v>953</v>
      </c>
      <c r="F242" t="s">
        <v>954</v>
      </c>
    </row>
    <row r="243" spans="1:6" x14ac:dyDescent="0.3">
      <c r="A243" t="s">
        <v>955</v>
      </c>
      <c r="B243" t="s">
        <v>956</v>
      </c>
      <c r="C243">
        <v>12259</v>
      </c>
      <c r="D243">
        <v>1.2146669715801299</v>
      </c>
      <c r="E243" s="1" t="s">
        <v>957</v>
      </c>
      <c r="F243" t="s">
        <v>958</v>
      </c>
    </row>
    <row r="244" spans="1:6" x14ac:dyDescent="0.3">
      <c r="A244" t="s">
        <v>29</v>
      </c>
      <c r="B244" t="s">
        <v>28</v>
      </c>
      <c r="C244">
        <v>20305</v>
      </c>
      <c r="D244">
        <v>1.2092101064668399</v>
      </c>
      <c r="E244">
        <v>2.20440713750953E-3</v>
      </c>
      <c r="F244" t="s">
        <v>959</v>
      </c>
    </row>
    <row r="245" spans="1:6" x14ac:dyDescent="0.3">
      <c r="A245" t="s">
        <v>960</v>
      </c>
      <c r="B245" t="s">
        <v>961</v>
      </c>
      <c r="C245">
        <v>14964</v>
      </c>
      <c r="D245">
        <v>1.20872166143483</v>
      </c>
      <c r="E245" s="1" t="s">
        <v>962</v>
      </c>
      <c r="F245" t="s">
        <v>963</v>
      </c>
    </row>
    <row r="246" spans="1:6" x14ac:dyDescent="0.3">
      <c r="A246" t="s">
        <v>964</v>
      </c>
      <c r="B246" t="s">
        <v>965</v>
      </c>
      <c r="C246">
        <v>16763</v>
      </c>
      <c r="D246">
        <v>1.20000629135116</v>
      </c>
      <c r="E246">
        <v>3.5348522534531098E-3</v>
      </c>
      <c r="F246" t="s">
        <v>966</v>
      </c>
    </row>
    <row r="247" spans="1:6" x14ac:dyDescent="0.3">
      <c r="A247" t="s">
        <v>967</v>
      </c>
      <c r="B247" t="s">
        <v>968</v>
      </c>
      <c r="C247">
        <v>18636</v>
      </c>
      <c r="D247">
        <v>1.1987462990245601</v>
      </c>
      <c r="E247">
        <v>8.4732470337228402E-3</v>
      </c>
      <c r="F247" t="s">
        <v>969</v>
      </c>
    </row>
    <row r="248" spans="1:6" x14ac:dyDescent="0.3">
      <c r="A248" t="s">
        <v>970</v>
      </c>
      <c r="B248" t="s">
        <v>971</v>
      </c>
      <c r="C248">
        <v>65972</v>
      </c>
      <c r="D248">
        <v>1.1921300226431</v>
      </c>
      <c r="E248">
        <v>2.27506777407873E-2</v>
      </c>
      <c r="F248" t="s">
        <v>972</v>
      </c>
    </row>
    <row r="249" spans="1:6" x14ac:dyDescent="0.3">
      <c r="A249" t="s">
        <v>83</v>
      </c>
      <c r="B249" t="s">
        <v>82</v>
      </c>
      <c r="C249">
        <v>17329</v>
      </c>
      <c r="D249">
        <v>1.18855783832747</v>
      </c>
      <c r="E249">
        <v>3.3904779213553601E-2</v>
      </c>
      <c r="F249" t="s">
        <v>973</v>
      </c>
    </row>
    <row r="250" spans="1:6" x14ac:dyDescent="0.3">
      <c r="A250" t="s">
        <v>974</v>
      </c>
      <c r="B250" t="s">
        <v>975</v>
      </c>
      <c r="C250">
        <v>70110</v>
      </c>
      <c r="D250">
        <v>1.18356265182855</v>
      </c>
      <c r="E250" s="1" t="s">
        <v>976</v>
      </c>
      <c r="F250" t="s">
        <v>977</v>
      </c>
    </row>
    <row r="251" spans="1:6" x14ac:dyDescent="0.3">
      <c r="A251" t="s">
        <v>978</v>
      </c>
      <c r="B251" t="s">
        <v>979</v>
      </c>
      <c r="C251">
        <v>14991</v>
      </c>
      <c r="D251">
        <v>1.1802258605265299</v>
      </c>
      <c r="E251">
        <v>1.3465930492185701E-3</v>
      </c>
      <c r="F251" t="s">
        <v>980</v>
      </c>
    </row>
    <row r="252" spans="1:6" x14ac:dyDescent="0.3">
      <c r="A252" t="s">
        <v>981</v>
      </c>
      <c r="B252" t="s">
        <v>982</v>
      </c>
      <c r="C252">
        <v>20821</v>
      </c>
      <c r="D252">
        <v>1.1613544179283699</v>
      </c>
      <c r="E252">
        <v>2.4327491588408402E-2</v>
      </c>
      <c r="F252" t="s">
        <v>983</v>
      </c>
    </row>
    <row r="253" spans="1:6" x14ac:dyDescent="0.3">
      <c r="A253" t="s">
        <v>984</v>
      </c>
      <c r="B253" t="s">
        <v>985</v>
      </c>
      <c r="C253">
        <v>17472</v>
      </c>
      <c r="D253">
        <v>1.1524347629410401</v>
      </c>
      <c r="E253">
        <v>3.1773235395622797E-4</v>
      </c>
      <c r="F253" t="s">
        <v>986</v>
      </c>
    </row>
    <row r="254" spans="1:6" x14ac:dyDescent="0.3">
      <c r="A254" t="s">
        <v>987</v>
      </c>
      <c r="B254" t="s">
        <v>988</v>
      </c>
      <c r="C254">
        <v>14664</v>
      </c>
      <c r="D254">
        <v>1.15092408230355</v>
      </c>
      <c r="E254">
        <v>3.5120981716633401E-2</v>
      </c>
      <c r="F254" t="s">
        <v>989</v>
      </c>
    </row>
    <row r="255" spans="1:6" x14ac:dyDescent="0.3">
      <c r="A255" t="s">
        <v>990</v>
      </c>
      <c r="B255" t="s">
        <v>991</v>
      </c>
      <c r="C255">
        <v>107272</v>
      </c>
      <c r="D255">
        <v>1.15004255550506</v>
      </c>
      <c r="E255">
        <v>3.11051228109935E-2</v>
      </c>
      <c r="F255" t="s">
        <v>992</v>
      </c>
    </row>
    <row r="256" spans="1:6" x14ac:dyDescent="0.3">
      <c r="A256" t="s">
        <v>993</v>
      </c>
      <c r="B256" t="s">
        <v>994</v>
      </c>
      <c r="C256">
        <v>68713</v>
      </c>
      <c r="D256">
        <v>1.14796794232327</v>
      </c>
      <c r="E256">
        <v>1.71045086792948E-4</v>
      </c>
      <c r="F256" t="s">
        <v>995</v>
      </c>
    </row>
    <row r="257" spans="1:6" x14ac:dyDescent="0.3">
      <c r="A257" t="s">
        <v>996</v>
      </c>
      <c r="B257" t="s">
        <v>997</v>
      </c>
      <c r="C257">
        <v>54199</v>
      </c>
      <c r="D257">
        <v>1.1400065329728</v>
      </c>
      <c r="E257" s="1" t="s">
        <v>953</v>
      </c>
      <c r="F257" t="s">
        <v>998</v>
      </c>
    </row>
    <row r="258" spans="1:6" x14ac:dyDescent="0.3">
      <c r="A258" t="s">
        <v>999</v>
      </c>
      <c r="B258" t="s">
        <v>1000</v>
      </c>
      <c r="C258">
        <v>70873</v>
      </c>
      <c r="D258">
        <v>1.1391517575368499</v>
      </c>
      <c r="E258">
        <v>1.40203280112156E-4</v>
      </c>
      <c r="F258" t="s">
        <v>1001</v>
      </c>
    </row>
    <row r="259" spans="1:6" x14ac:dyDescent="0.3">
      <c r="A259" t="s">
        <v>1002</v>
      </c>
      <c r="B259" t="s">
        <v>1003</v>
      </c>
      <c r="C259">
        <v>20128</v>
      </c>
      <c r="D259">
        <v>1.1314880958899101</v>
      </c>
      <c r="E259">
        <v>4.5007129287615803E-3</v>
      </c>
      <c r="F259" t="s">
        <v>1004</v>
      </c>
    </row>
    <row r="260" spans="1:6" x14ac:dyDescent="0.3">
      <c r="A260" t="s">
        <v>1005</v>
      </c>
      <c r="B260" t="s">
        <v>1006</v>
      </c>
      <c r="C260">
        <v>19171</v>
      </c>
      <c r="D260">
        <v>1.1277742421813099</v>
      </c>
      <c r="E260" s="1" t="s">
        <v>1007</v>
      </c>
      <c r="F260" t="s">
        <v>1008</v>
      </c>
    </row>
    <row r="261" spans="1:6" x14ac:dyDescent="0.3">
      <c r="A261" t="s">
        <v>1009</v>
      </c>
      <c r="B261" t="s">
        <v>1010</v>
      </c>
      <c r="C261">
        <v>12364</v>
      </c>
      <c r="D261">
        <v>1.1277403019548899</v>
      </c>
      <c r="E261">
        <v>4.1526201008518998E-3</v>
      </c>
      <c r="F261" t="s">
        <v>1011</v>
      </c>
    </row>
    <row r="262" spans="1:6" x14ac:dyDescent="0.3">
      <c r="A262" t="s">
        <v>1012</v>
      </c>
      <c r="B262" t="s">
        <v>1013</v>
      </c>
      <c r="C262">
        <v>80914</v>
      </c>
      <c r="D262">
        <v>1.1266064486037799</v>
      </c>
      <c r="E262" s="1" t="s">
        <v>1014</v>
      </c>
      <c r="F262" t="s">
        <v>1015</v>
      </c>
    </row>
    <row r="263" spans="1:6" x14ac:dyDescent="0.3">
      <c r="A263" t="s">
        <v>1016</v>
      </c>
      <c r="B263" t="s">
        <v>1017</v>
      </c>
      <c r="C263">
        <v>73914</v>
      </c>
      <c r="D263">
        <v>1.12591467211105</v>
      </c>
      <c r="E263">
        <v>2.2200893427511401E-2</v>
      </c>
      <c r="F263" t="s">
        <v>1018</v>
      </c>
    </row>
    <row r="264" spans="1:6" x14ac:dyDescent="0.3">
      <c r="A264" t="s">
        <v>1019</v>
      </c>
      <c r="B264" t="s">
        <v>1020</v>
      </c>
      <c r="C264">
        <v>208366</v>
      </c>
      <c r="D264">
        <v>1.1207918680273701</v>
      </c>
      <c r="E264">
        <v>3.4576805919573402E-4</v>
      </c>
      <c r="F264" t="s">
        <v>1021</v>
      </c>
    </row>
    <row r="265" spans="1:6" x14ac:dyDescent="0.3">
      <c r="A265" t="s">
        <v>1022</v>
      </c>
      <c r="B265" t="s">
        <v>1023</v>
      </c>
      <c r="C265">
        <v>230073</v>
      </c>
      <c r="D265">
        <v>1.1142397110536699</v>
      </c>
      <c r="E265">
        <v>6.5558515051933599E-3</v>
      </c>
      <c r="F265" t="s">
        <v>1024</v>
      </c>
    </row>
    <row r="266" spans="1:6" x14ac:dyDescent="0.3">
      <c r="A266" t="s">
        <v>1025</v>
      </c>
      <c r="B266" t="s">
        <v>1026</v>
      </c>
      <c r="C266">
        <v>105855</v>
      </c>
      <c r="D266">
        <v>1.1070398058616</v>
      </c>
      <c r="E266">
        <v>3.6590551387044299E-3</v>
      </c>
      <c r="F266" t="s">
        <v>1027</v>
      </c>
    </row>
    <row r="267" spans="1:6" x14ac:dyDescent="0.3">
      <c r="A267" t="s">
        <v>1028</v>
      </c>
      <c r="B267" t="s">
        <v>1029</v>
      </c>
      <c r="C267">
        <v>14219</v>
      </c>
      <c r="D267">
        <v>1.1060402418292801</v>
      </c>
      <c r="E267" s="1" t="s">
        <v>1030</v>
      </c>
      <c r="F267" t="s">
        <v>1031</v>
      </c>
    </row>
    <row r="268" spans="1:6" x14ac:dyDescent="0.3">
      <c r="A268" t="s">
        <v>1032</v>
      </c>
      <c r="B268" t="s">
        <v>1033</v>
      </c>
      <c r="C268">
        <v>14130</v>
      </c>
      <c r="D268">
        <v>1.1057529813144999</v>
      </c>
      <c r="E268">
        <v>2.08132983427041E-3</v>
      </c>
      <c r="F268" t="s">
        <v>1034</v>
      </c>
    </row>
    <row r="269" spans="1:6" x14ac:dyDescent="0.3">
      <c r="A269" t="s">
        <v>1035</v>
      </c>
      <c r="B269" t="s">
        <v>1036</v>
      </c>
      <c r="C269">
        <v>14537</v>
      </c>
      <c r="D269">
        <v>1.1037565259587601</v>
      </c>
      <c r="E269">
        <v>2.9187859195676499E-2</v>
      </c>
      <c r="F269" t="s">
        <v>1037</v>
      </c>
    </row>
    <row r="270" spans="1:6" x14ac:dyDescent="0.3">
      <c r="A270" t="s">
        <v>1038</v>
      </c>
      <c r="B270" t="s">
        <v>1039</v>
      </c>
      <c r="C270">
        <v>109032</v>
      </c>
      <c r="D270">
        <v>1.0988476912218099</v>
      </c>
      <c r="E270">
        <v>2.5139233382362899E-2</v>
      </c>
      <c r="F270" t="s">
        <v>1040</v>
      </c>
    </row>
    <row r="271" spans="1:6" x14ac:dyDescent="0.3">
      <c r="A271" t="s">
        <v>1041</v>
      </c>
      <c r="B271" t="s">
        <v>1042</v>
      </c>
      <c r="C271">
        <v>66102</v>
      </c>
      <c r="D271">
        <v>1.0958082164291001</v>
      </c>
      <c r="E271">
        <v>9.0059874611749099E-4</v>
      </c>
      <c r="F271" t="s">
        <v>1043</v>
      </c>
    </row>
    <row r="272" spans="1:6" x14ac:dyDescent="0.3">
      <c r="A272" t="s">
        <v>1044</v>
      </c>
      <c r="B272" t="s">
        <v>1045</v>
      </c>
      <c r="C272">
        <v>67242</v>
      </c>
      <c r="D272">
        <v>1.0946822545127901</v>
      </c>
      <c r="E272">
        <v>4.75952501165735E-2</v>
      </c>
      <c r="F272" t="s">
        <v>1046</v>
      </c>
    </row>
    <row r="273" spans="1:6" x14ac:dyDescent="0.3">
      <c r="A273" t="s">
        <v>1047</v>
      </c>
      <c r="B273" t="s">
        <v>1048</v>
      </c>
      <c r="C273">
        <v>94094</v>
      </c>
      <c r="D273">
        <v>1.0932597014868799</v>
      </c>
      <c r="E273">
        <v>1.51725684827894E-2</v>
      </c>
      <c r="F273" t="s">
        <v>1049</v>
      </c>
    </row>
    <row r="274" spans="1:6" x14ac:dyDescent="0.3">
      <c r="A274" t="s">
        <v>1050</v>
      </c>
      <c r="B274" t="s">
        <v>1051</v>
      </c>
      <c r="C274">
        <v>547253</v>
      </c>
      <c r="D274">
        <v>1.0861921441159501</v>
      </c>
      <c r="E274">
        <v>8.8155859792820896E-4</v>
      </c>
      <c r="F274" t="s">
        <v>1052</v>
      </c>
    </row>
    <row r="275" spans="1:6" x14ac:dyDescent="0.3">
      <c r="A275" t="s">
        <v>1053</v>
      </c>
      <c r="B275" t="s">
        <v>1054</v>
      </c>
      <c r="C275">
        <v>72042</v>
      </c>
      <c r="D275">
        <v>1.0859039128071599</v>
      </c>
      <c r="E275">
        <v>1.44755600729369E-2</v>
      </c>
      <c r="F275" t="s">
        <v>1055</v>
      </c>
    </row>
    <row r="276" spans="1:6" x14ac:dyDescent="0.3">
      <c r="A276" t="s">
        <v>1056</v>
      </c>
      <c r="B276" t="s">
        <v>1057</v>
      </c>
      <c r="C276">
        <v>20911</v>
      </c>
      <c r="D276">
        <v>1.08237728788159</v>
      </c>
      <c r="E276">
        <v>3.2216649416969598E-2</v>
      </c>
      <c r="F276" t="s">
        <v>1058</v>
      </c>
    </row>
    <row r="277" spans="1:6" x14ac:dyDescent="0.3">
      <c r="A277" t="s">
        <v>1059</v>
      </c>
      <c r="B277" t="s">
        <v>1060</v>
      </c>
      <c r="C277">
        <v>667277</v>
      </c>
      <c r="D277">
        <v>1.0813965553379901</v>
      </c>
      <c r="E277">
        <v>7.2802657412498499E-3</v>
      </c>
      <c r="F277" t="s">
        <v>1061</v>
      </c>
    </row>
    <row r="278" spans="1:6" x14ac:dyDescent="0.3">
      <c r="A278" t="s">
        <v>1062</v>
      </c>
      <c r="B278" t="s">
        <v>1063</v>
      </c>
      <c r="C278">
        <v>80285</v>
      </c>
      <c r="D278">
        <v>1.0735118826053001</v>
      </c>
      <c r="E278">
        <v>3.5716946569571799E-3</v>
      </c>
      <c r="F278" t="s">
        <v>1064</v>
      </c>
    </row>
    <row r="279" spans="1:6" x14ac:dyDescent="0.3">
      <c r="A279" t="s">
        <v>1065</v>
      </c>
      <c r="B279" t="s">
        <v>1066</v>
      </c>
      <c r="C279">
        <v>74153</v>
      </c>
      <c r="D279">
        <v>1.0693616379489399</v>
      </c>
      <c r="E279">
        <v>4.4186435034475804E-3</v>
      </c>
      <c r="F279" t="s">
        <v>1067</v>
      </c>
    </row>
    <row r="280" spans="1:6" x14ac:dyDescent="0.3">
      <c r="A280" t="s">
        <v>1068</v>
      </c>
      <c r="B280" t="s">
        <v>1069</v>
      </c>
      <c r="C280">
        <v>12332</v>
      </c>
      <c r="D280">
        <v>1.06625412421257</v>
      </c>
      <c r="E280">
        <v>8.7597151464147999E-3</v>
      </c>
      <c r="F280" t="s">
        <v>1070</v>
      </c>
    </row>
    <row r="281" spans="1:6" x14ac:dyDescent="0.3">
      <c r="A281" t="s">
        <v>1071</v>
      </c>
      <c r="B281" t="s">
        <v>1072</v>
      </c>
      <c r="C281">
        <v>18173</v>
      </c>
      <c r="D281">
        <v>1.0645692347884901</v>
      </c>
      <c r="E281">
        <v>3.4991471567007902E-2</v>
      </c>
      <c r="F281" t="s">
        <v>1073</v>
      </c>
    </row>
    <row r="282" spans="1:6" x14ac:dyDescent="0.3">
      <c r="A282" t="s">
        <v>1074</v>
      </c>
      <c r="B282" t="s">
        <v>1075</v>
      </c>
      <c r="C282">
        <v>100034251</v>
      </c>
      <c r="D282">
        <v>1.0608749445622601</v>
      </c>
      <c r="E282">
        <v>3.8432014630262702E-3</v>
      </c>
      <c r="F282" t="s">
        <v>1076</v>
      </c>
    </row>
    <row r="283" spans="1:6" x14ac:dyDescent="0.3">
      <c r="A283" t="s">
        <v>1077</v>
      </c>
      <c r="B283" t="s">
        <v>1078</v>
      </c>
      <c r="C283">
        <v>16848</v>
      </c>
      <c r="D283">
        <v>1.0585840999278</v>
      </c>
      <c r="E283">
        <v>4.2557864097975302E-3</v>
      </c>
      <c r="F283" t="s">
        <v>1079</v>
      </c>
    </row>
    <row r="284" spans="1:6" x14ac:dyDescent="0.3">
      <c r="A284" t="s">
        <v>1080</v>
      </c>
      <c r="B284" t="s">
        <v>1081</v>
      </c>
      <c r="C284">
        <v>18826</v>
      </c>
      <c r="D284">
        <v>1.0513706848217901</v>
      </c>
      <c r="E284">
        <v>6.6355554315888996E-3</v>
      </c>
      <c r="F284" t="s">
        <v>1082</v>
      </c>
    </row>
    <row r="285" spans="1:6" x14ac:dyDescent="0.3">
      <c r="A285" t="s">
        <v>1083</v>
      </c>
      <c r="B285" t="s">
        <v>1084</v>
      </c>
      <c r="C285">
        <v>14131</v>
      </c>
      <c r="D285">
        <v>1.04893359064634</v>
      </c>
      <c r="E285" s="1" t="s">
        <v>410</v>
      </c>
      <c r="F285" t="s">
        <v>1085</v>
      </c>
    </row>
    <row r="286" spans="1:6" x14ac:dyDescent="0.3">
      <c r="A286" t="s">
        <v>1086</v>
      </c>
      <c r="B286" t="s">
        <v>1087</v>
      </c>
      <c r="C286">
        <v>13685</v>
      </c>
      <c r="D286">
        <v>1.0386044917806101</v>
      </c>
      <c r="E286" s="1" t="s">
        <v>1088</v>
      </c>
      <c r="F286" t="s">
        <v>1089</v>
      </c>
    </row>
    <row r="287" spans="1:6" x14ac:dyDescent="0.3">
      <c r="A287" t="s">
        <v>1090</v>
      </c>
      <c r="B287" t="s">
        <v>1091</v>
      </c>
      <c r="C287">
        <v>27984</v>
      </c>
      <c r="D287">
        <v>1.0368402966115799</v>
      </c>
      <c r="E287" s="1" t="s">
        <v>1092</v>
      </c>
      <c r="F287" t="s">
        <v>1093</v>
      </c>
    </row>
    <row r="288" spans="1:6" x14ac:dyDescent="0.3">
      <c r="A288" t="s">
        <v>1094</v>
      </c>
      <c r="B288" t="s">
        <v>1095</v>
      </c>
      <c r="C288">
        <v>15483</v>
      </c>
      <c r="D288">
        <v>1.03066126499079</v>
      </c>
      <c r="E288" s="1" t="s">
        <v>1096</v>
      </c>
      <c r="F288" t="s">
        <v>1097</v>
      </c>
    </row>
    <row r="289" spans="1:6" x14ac:dyDescent="0.3">
      <c r="A289" t="s">
        <v>1098</v>
      </c>
      <c r="B289" t="s">
        <v>1099</v>
      </c>
      <c r="C289">
        <v>209200</v>
      </c>
      <c r="D289">
        <v>1.0304120791551299</v>
      </c>
      <c r="E289">
        <v>3.7417701219952101E-3</v>
      </c>
      <c r="F289" t="s">
        <v>1100</v>
      </c>
    </row>
    <row r="290" spans="1:6" x14ac:dyDescent="0.3">
      <c r="A290" t="s">
        <v>1101</v>
      </c>
      <c r="B290" t="s">
        <v>1102</v>
      </c>
      <c r="C290">
        <v>15163</v>
      </c>
      <c r="D290">
        <v>1.02667080468072</v>
      </c>
      <c r="E290">
        <v>4.4338882617053401E-3</v>
      </c>
      <c r="F290" t="s">
        <v>1103</v>
      </c>
    </row>
    <row r="291" spans="1:6" x14ac:dyDescent="0.3">
      <c r="A291" t="s">
        <v>1104</v>
      </c>
      <c r="B291" t="s">
        <v>1105</v>
      </c>
      <c r="C291">
        <v>15900</v>
      </c>
      <c r="D291">
        <v>1.02330069103804</v>
      </c>
      <c r="E291">
        <v>3.0485451046414199E-2</v>
      </c>
      <c r="F291" t="s">
        <v>1106</v>
      </c>
    </row>
    <row r="292" spans="1:6" x14ac:dyDescent="0.3">
      <c r="A292" t="s">
        <v>1107</v>
      </c>
      <c r="B292" t="s">
        <v>1108</v>
      </c>
      <c r="C292">
        <v>12262</v>
      </c>
      <c r="D292">
        <v>1.0232354572468401</v>
      </c>
      <c r="E292" s="1" t="s">
        <v>1109</v>
      </c>
      <c r="F292" t="s">
        <v>1110</v>
      </c>
    </row>
    <row r="293" spans="1:6" x14ac:dyDescent="0.3">
      <c r="A293" t="s">
        <v>1111</v>
      </c>
      <c r="B293" t="s">
        <v>1112</v>
      </c>
      <c r="C293">
        <v>21898</v>
      </c>
      <c r="D293">
        <v>1.02298858964498</v>
      </c>
      <c r="E293">
        <v>2.0490836313302799E-2</v>
      </c>
      <c r="F293" t="s">
        <v>1113</v>
      </c>
    </row>
    <row r="294" spans="1:6" x14ac:dyDescent="0.3">
      <c r="A294" t="s">
        <v>1114</v>
      </c>
      <c r="B294" t="s">
        <v>1115</v>
      </c>
      <c r="C294">
        <v>26382</v>
      </c>
      <c r="D294">
        <v>1.0222540309872299</v>
      </c>
      <c r="E294">
        <v>1.1302252713441799E-2</v>
      </c>
      <c r="F294" t="s">
        <v>1116</v>
      </c>
    </row>
    <row r="295" spans="1:6" x14ac:dyDescent="0.3">
      <c r="A295" t="s">
        <v>1117</v>
      </c>
      <c r="B295" t="s">
        <v>1118</v>
      </c>
      <c r="C295">
        <v>12273</v>
      </c>
      <c r="D295">
        <v>1.0203248971818499</v>
      </c>
      <c r="E295">
        <v>4.7909764754454999E-2</v>
      </c>
      <c r="F295" t="s">
        <v>1119</v>
      </c>
    </row>
    <row r="296" spans="1:6" x14ac:dyDescent="0.3">
      <c r="A296" t="s">
        <v>1120</v>
      </c>
      <c r="B296" t="s">
        <v>1121</v>
      </c>
      <c r="C296">
        <v>12609</v>
      </c>
      <c r="D296">
        <v>1.0141246461126301</v>
      </c>
      <c r="E296" s="1" t="s">
        <v>1122</v>
      </c>
      <c r="F296" t="s">
        <v>1123</v>
      </c>
    </row>
    <row r="297" spans="1:6" x14ac:dyDescent="0.3">
      <c r="A297" t="s">
        <v>1124</v>
      </c>
      <c r="B297" t="s">
        <v>1125</v>
      </c>
      <c r="C297">
        <v>229898</v>
      </c>
      <c r="D297">
        <v>1.01348659293793</v>
      </c>
      <c r="E297">
        <v>4.4929038767441899E-2</v>
      </c>
      <c r="F297" t="s">
        <v>1126</v>
      </c>
    </row>
    <row r="298" spans="1:6" x14ac:dyDescent="0.3">
      <c r="A298" t="s">
        <v>1127</v>
      </c>
      <c r="B298" t="s">
        <v>1128</v>
      </c>
      <c r="C298">
        <v>243771</v>
      </c>
      <c r="D298">
        <v>1.01316007442555</v>
      </c>
      <c r="E298">
        <v>1.55373692144491E-3</v>
      </c>
      <c r="F298" t="s">
        <v>1129</v>
      </c>
    </row>
    <row r="299" spans="1:6" x14ac:dyDescent="0.3">
      <c r="A299" t="s">
        <v>1130</v>
      </c>
      <c r="B299" t="s">
        <v>1131</v>
      </c>
      <c r="C299">
        <v>76905</v>
      </c>
      <c r="D299">
        <v>1.01237353209119</v>
      </c>
      <c r="E299" s="1" t="s">
        <v>976</v>
      </c>
      <c r="F299" t="s">
        <v>1132</v>
      </c>
    </row>
    <row r="300" spans="1:6" x14ac:dyDescent="0.3">
      <c r="A300" t="s">
        <v>1133</v>
      </c>
      <c r="B300" t="s">
        <v>1134</v>
      </c>
      <c r="C300" t="s">
        <v>219</v>
      </c>
      <c r="D300">
        <v>1.00789691139647</v>
      </c>
      <c r="E300">
        <v>7.6753921215144097E-4</v>
      </c>
      <c r="F300" t="s">
        <v>1135</v>
      </c>
    </row>
    <row r="301" spans="1:6" x14ac:dyDescent="0.3">
      <c r="A301" t="s">
        <v>1136</v>
      </c>
      <c r="B301" t="s">
        <v>1137</v>
      </c>
      <c r="C301">
        <v>21743</v>
      </c>
      <c r="D301">
        <v>1.00769214276478</v>
      </c>
      <c r="E301">
        <v>1.2228139383676701E-2</v>
      </c>
      <c r="F301" t="s">
        <v>1138</v>
      </c>
    </row>
    <row r="302" spans="1:6" x14ac:dyDescent="0.3">
      <c r="A302" t="s">
        <v>1139</v>
      </c>
      <c r="B302" t="s">
        <v>1140</v>
      </c>
      <c r="C302">
        <v>69028</v>
      </c>
      <c r="D302">
        <v>1.0070808132070901</v>
      </c>
      <c r="E302">
        <v>4.9211727163712499E-2</v>
      </c>
      <c r="F302" t="s">
        <v>1141</v>
      </c>
    </row>
    <row r="303" spans="1:6" x14ac:dyDescent="0.3">
      <c r="A303" t="s">
        <v>1142</v>
      </c>
      <c r="B303" t="s">
        <v>1143</v>
      </c>
      <c r="C303">
        <v>207965</v>
      </c>
      <c r="D303">
        <v>1.00528358458212</v>
      </c>
      <c r="E303">
        <v>4.9781663780663697E-2</v>
      </c>
      <c r="F303" t="s">
        <v>1144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806A6-BAF7-44F8-96F6-4C3863CF2748}">
  <dimension ref="A1:Q72"/>
  <sheetViews>
    <sheetView tabSelected="1" workbookViewId="0">
      <selection activeCell="P27" sqref="P27"/>
    </sheetView>
  </sheetViews>
  <sheetFormatPr defaultRowHeight="14.4" x14ac:dyDescent="0.3"/>
  <cols>
    <col min="16" max="16" width="24.33203125" customWidth="1"/>
    <col min="17" max="17" width="19.88671875" customWidth="1"/>
  </cols>
  <sheetData>
    <row r="1" spans="1:1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1145</v>
      </c>
      <c r="Q1" t="s">
        <v>1146</v>
      </c>
    </row>
    <row r="2" spans="1:17" x14ac:dyDescent="0.3">
      <c r="A2" t="s">
        <v>14</v>
      </c>
      <c r="B2" t="s">
        <v>15</v>
      </c>
      <c r="C2" t="s">
        <v>16</v>
      </c>
      <c r="D2">
        <v>2</v>
      </c>
      <c r="E2">
        <v>2</v>
      </c>
      <c r="F2">
        <v>2</v>
      </c>
      <c r="G2">
        <v>2</v>
      </c>
      <c r="H2">
        <v>2</v>
      </c>
      <c r="I2">
        <v>2.2802158844896701</v>
      </c>
      <c r="J2">
        <v>3.4400064413410498</v>
      </c>
      <c r="K2">
        <v>3.11223541799002</v>
      </c>
      <c r="L2">
        <v>2.2545153577444799</v>
      </c>
      <c r="M2">
        <v>2.48137274935242</v>
      </c>
      <c r="N2">
        <v>2.9377718291955301</v>
      </c>
      <c r="O2">
        <v>3.8273305184401201</v>
      </c>
      <c r="P2">
        <f>_xlfn.XLOOKUP($A2, DEG!$B:$B, DEG!$E:$E, "not sig")</f>
        <v>9.7171378856925998E-3</v>
      </c>
      <c r="Q2">
        <f>IFERROR(VALUE(_xlfn.XLOOKUP($A2, DEG!$B:$B, DEG!$D:$D)), "")</f>
        <v>3.7448662497295802</v>
      </c>
    </row>
    <row r="3" spans="1:17" x14ac:dyDescent="0.3">
      <c r="A3" t="s">
        <v>17</v>
      </c>
      <c r="B3" t="s">
        <v>18</v>
      </c>
      <c r="C3" t="s">
        <v>19</v>
      </c>
      <c r="D3">
        <v>3.73399370001566</v>
      </c>
      <c r="E3">
        <v>3.5033929027217301</v>
      </c>
      <c r="F3">
        <v>3.6011703265158799</v>
      </c>
      <c r="G3">
        <v>2.9578262391703598</v>
      </c>
      <c r="H3">
        <v>3.4440596496117601</v>
      </c>
      <c r="I3">
        <v>3.6524937905374699</v>
      </c>
      <c r="J3">
        <v>2.8167483325688401</v>
      </c>
      <c r="K3">
        <v>2.66074772660986</v>
      </c>
      <c r="L3">
        <v>2.4707917980286198</v>
      </c>
      <c r="M3">
        <v>2.84168563095003</v>
      </c>
      <c r="N3">
        <v>2.9377718291955301</v>
      </c>
      <c r="O3">
        <v>2.8519058192447102</v>
      </c>
      <c r="P3" t="str">
        <f>_xlfn.XLOOKUP($A3, DEG!$B:$B, DEG!$E:$E, "not sig")</f>
        <v>not sig</v>
      </c>
      <c r="Q3" t="str">
        <f>IFERROR(VALUE(_xlfn.XLOOKUP($A3, DEG!$B:$B, DEG!$D:$D)), "")</f>
        <v/>
      </c>
    </row>
    <row r="4" spans="1:17" x14ac:dyDescent="0.3">
      <c r="A4" t="s">
        <v>20</v>
      </c>
      <c r="B4" t="s">
        <v>21</v>
      </c>
      <c r="C4" t="s">
        <v>19</v>
      </c>
      <c r="D4">
        <v>2</v>
      </c>
      <c r="E4">
        <v>2.26771380353851</v>
      </c>
      <c r="F4">
        <v>2</v>
      </c>
      <c r="G4">
        <v>2</v>
      </c>
      <c r="H4">
        <v>2</v>
      </c>
      <c r="I4">
        <v>2</v>
      </c>
      <c r="J4">
        <v>2</v>
      </c>
      <c r="K4">
        <v>2.66074772660986</v>
      </c>
      <c r="L4">
        <v>2</v>
      </c>
      <c r="M4">
        <v>2.2606709117976398</v>
      </c>
      <c r="N4">
        <v>2</v>
      </c>
      <c r="O4">
        <v>2.18160798896192</v>
      </c>
      <c r="P4" t="str">
        <f>_xlfn.XLOOKUP($A4, DEG!$B:$B, DEG!$E:$E, "not sig")</f>
        <v>not sig</v>
      </c>
      <c r="Q4" t="str">
        <f>IFERROR(VALUE(_xlfn.XLOOKUP($A4, DEG!$B:$B, DEG!$D:$D)), "")</f>
        <v/>
      </c>
    </row>
    <row r="5" spans="1:17" x14ac:dyDescent="0.3">
      <c r="A5" t="s">
        <v>22</v>
      </c>
      <c r="B5" t="s">
        <v>23</v>
      </c>
      <c r="C5" t="s">
        <v>16</v>
      </c>
      <c r="D5">
        <v>2</v>
      </c>
      <c r="E5">
        <v>3.1527618065068701</v>
      </c>
      <c r="F5">
        <v>2.2939450220727999</v>
      </c>
      <c r="G5">
        <v>3.3621248098817702</v>
      </c>
      <c r="H5">
        <v>3.55383279124985</v>
      </c>
      <c r="I5">
        <v>2.5147567090274201</v>
      </c>
      <c r="J5">
        <v>4.66221009661363</v>
      </c>
      <c r="K5">
        <v>5.9012668383430702</v>
      </c>
      <c r="L5">
        <v>4.1611875489761703</v>
      </c>
      <c r="M5">
        <v>4.4737405104664703</v>
      </c>
      <c r="N5">
        <v>4.3817292068201299</v>
      </c>
      <c r="O5">
        <v>6.2562469339405897</v>
      </c>
      <c r="P5" t="str">
        <f>_xlfn.XLOOKUP($A5, DEG!$B:$B, DEG!$E:$E, "not sig")</f>
        <v>7.75908430041051e-06</v>
      </c>
      <c r="Q5">
        <f>IFERROR(VALUE(_xlfn.XLOOKUP($A5, DEG!$B:$B, DEG!$D:$D)), "")</f>
        <v>3.0198379757418499</v>
      </c>
    </row>
    <row r="6" spans="1:17" x14ac:dyDescent="0.3">
      <c r="A6" t="s">
        <v>24</v>
      </c>
      <c r="B6" t="s">
        <v>25</v>
      </c>
      <c r="C6" t="s">
        <v>19</v>
      </c>
      <c r="D6">
        <v>7.0691278844258401</v>
      </c>
      <c r="E6">
        <v>6.5120462533609196</v>
      </c>
      <c r="F6">
        <v>6.4605392467125302</v>
      </c>
      <c r="G6">
        <v>6.8401196134930196</v>
      </c>
      <c r="H6">
        <v>6.6736792249637196</v>
      </c>
      <c r="I6">
        <v>6.2155916566159704</v>
      </c>
      <c r="J6">
        <v>6.8665600555694404</v>
      </c>
      <c r="K6">
        <v>6.8129473518581802</v>
      </c>
      <c r="L6">
        <v>6.4099453793125196</v>
      </c>
      <c r="M6">
        <v>6.6069286010515196</v>
      </c>
      <c r="N6">
        <v>6.7052341550550096</v>
      </c>
      <c r="O6">
        <v>7.3893918904733598</v>
      </c>
      <c r="P6" t="str">
        <f>_xlfn.XLOOKUP($A6, DEG!$B:$B, DEG!$E:$E, "not sig")</f>
        <v>not sig</v>
      </c>
      <c r="Q6" t="str">
        <f>IFERROR(VALUE(_xlfn.XLOOKUP($A6, DEG!$B:$B, DEG!$D:$D)), "")</f>
        <v/>
      </c>
    </row>
    <row r="7" spans="1:17" x14ac:dyDescent="0.3">
      <c r="A7" t="s">
        <v>26</v>
      </c>
      <c r="B7" t="s">
        <v>27</v>
      </c>
      <c r="C7" t="s">
        <v>19</v>
      </c>
      <c r="D7">
        <v>2</v>
      </c>
      <c r="E7">
        <v>2.4934393836814999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2.18160798896192</v>
      </c>
      <c r="P7" t="str">
        <f>_xlfn.XLOOKUP($A7, DEG!$B:$B, DEG!$E:$E, "not sig")</f>
        <v>not sig</v>
      </c>
      <c r="Q7" t="str">
        <f>IFERROR(VALUE(_xlfn.XLOOKUP($A7, DEG!$B:$B, DEG!$D:$D)), "")</f>
        <v/>
      </c>
    </row>
    <row r="8" spans="1:17" x14ac:dyDescent="0.3">
      <c r="A8" t="s">
        <v>28</v>
      </c>
      <c r="B8" t="s">
        <v>29</v>
      </c>
      <c r="C8" t="s">
        <v>16</v>
      </c>
      <c r="D8">
        <v>7.2563910724523604</v>
      </c>
      <c r="E8">
        <v>5.8938572847229604</v>
      </c>
      <c r="F8">
        <v>5.9717025579798104</v>
      </c>
      <c r="G8">
        <v>5.9495202265169498</v>
      </c>
      <c r="H8">
        <v>5.7055333495467604</v>
      </c>
      <c r="I8">
        <v>5.4411279583029399</v>
      </c>
      <c r="J8">
        <v>7.36336416438456</v>
      </c>
      <c r="K8">
        <v>7.6875773521539603</v>
      </c>
      <c r="L8">
        <v>6.4099453793125196</v>
      </c>
      <c r="M8">
        <v>6.7832882352296497</v>
      </c>
      <c r="N8">
        <v>6.2849924776654102</v>
      </c>
      <c r="O8">
        <v>7.7794489226852299</v>
      </c>
      <c r="P8">
        <f>_xlfn.XLOOKUP($A8, DEG!$B:$B, DEG!$E:$E, "not sig")</f>
        <v>2.20440713750953E-3</v>
      </c>
      <c r="Q8">
        <f>IFERROR(VALUE(_xlfn.XLOOKUP($A8, DEG!$B:$B, DEG!$D:$D)), "")</f>
        <v>1.2092101064668399</v>
      </c>
    </row>
    <row r="9" spans="1:17" x14ac:dyDescent="0.3">
      <c r="A9" t="s">
        <v>30</v>
      </c>
      <c r="B9" t="s">
        <v>31</v>
      </c>
      <c r="C9" t="s">
        <v>16</v>
      </c>
      <c r="D9">
        <v>2</v>
      </c>
      <c r="E9">
        <v>2.26771380353851</v>
      </c>
      <c r="F9">
        <v>2.2939450220727999</v>
      </c>
      <c r="G9">
        <v>2.3941047195857399</v>
      </c>
      <c r="H9">
        <v>2.8956338597551099</v>
      </c>
      <c r="I9">
        <v>2</v>
      </c>
      <c r="J9">
        <v>3.79686858555444</v>
      </c>
      <c r="K9">
        <v>4.2262139598532604</v>
      </c>
      <c r="L9">
        <v>2.4707917980286198</v>
      </c>
      <c r="M9">
        <v>2.9928978701018298</v>
      </c>
      <c r="N9">
        <v>2.4501971893972798</v>
      </c>
      <c r="O9">
        <v>4.4401176762866896</v>
      </c>
      <c r="P9">
        <f>_xlfn.XLOOKUP($A9, DEG!$B:$B, DEG!$E:$E, "not sig")</f>
        <v>2.3666898312940901E-2</v>
      </c>
      <c r="Q9">
        <f>IFERROR(VALUE(_xlfn.XLOOKUP($A9, DEG!$B:$B, DEG!$D:$D)), "")</f>
        <v>2.6512925466558599</v>
      </c>
    </row>
    <row r="10" spans="1:17" x14ac:dyDescent="0.3">
      <c r="A10" t="s">
        <v>32</v>
      </c>
      <c r="B10" t="s">
        <v>33</v>
      </c>
      <c r="C10" t="s">
        <v>16</v>
      </c>
      <c r="D10">
        <v>4.9962841747657301</v>
      </c>
      <c r="E10">
        <v>5.1289770078921002</v>
      </c>
      <c r="F10">
        <v>4.7815048415363801</v>
      </c>
      <c r="G10">
        <v>4.9838225483276597</v>
      </c>
      <c r="H10">
        <v>5.6070997354692498</v>
      </c>
      <c r="I10">
        <v>5.0880025869563896</v>
      </c>
      <c r="J10">
        <v>6.8284047364918896</v>
      </c>
      <c r="K10">
        <v>7.2025068870016904</v>
      </c>
      <c r="L10">
        <v>5.8585226948748597</v>
      </c>
      <c r="M10">
        <v>5.4464925369832997</v>
      </c>
      <c r="N10">
        <v>4.9244962718979899</v>
      </c>
      <c r="O10">
        <v>7.0174971153128496</v>
      </c>
      <c r="P10">
        <f>_xlfn.XLOOKUP($A10, DEG!$B:$B, DEG!$E:$E, "not sig")</f>
        <v>3.2548383015383801E-3</v>
      </c>
      <c r="Q10">
        <f>IFERROR(VALUE(_xlfn.XLOOKUP($A10, DEG!$B:$B, DEG!$D:$D)), "")</f>
        <v>1.41657212645796</v>
      </c>
    </row>
    <row r="11" spans="1:17" x14ac:dyDescent="0.3">
      <c r="A11" t="s">
        <v>34</v>
      </c>
      <c r="B11" t="s">
        <v>35</v>
      </c>
      <c r="C11" t="s">
        <v>19</v>
      </c>
      <c r="D11">
        <v>2</v>
      </c>
      <c r="E11">
        <v>3.2793463231155702</v>
      </c>
      <c r="F11">
        <v>3.2362959617398999</v>
      </c>
      <c r="G11">
        <v>4.0500733041288504</v>
      </c>
      <c r="H11">
        <v>3.4440596496117601</v>
      </c>
      <c r="I11">
        <v>2.8933671497941602</v>
      </c>
      <c r="J11">
        <v>3.53783210431421</v>
      </c>
      <c r="K11">
        <v>4.2262139598532604</v>
      </c>
      <c r="L11">
        <v>3.1094338523667</v>
      </c>
      <c r="M11">
        <v>3.66829743676977</v>
      </c>
      <c r="N11">
        <v>3.5013804976520699</v>
      </c>
      <c r="O11">
        <v>4.3669699077419599</v>
      </c>
      <c r="P11" t="str">
        <f>_xlfn.XLOOKUP($A11, DEG!$B:$B, DEG!$E:$E, "not sig")</f>
        <v>not sig</v>
      </c>
      <c r="Q11" t="str">
        <f>IFERROR(VALUE(_xlfn.XLOOKUP($A11, DEG!$B:$B, DEG!$D:$D)), "")</f>
        <v/>
      </c>
    </row>
    <row r="12" spans="1:17" x14ac:dyDescent="0.3">
      <c r="A12" t="s">
        <v>36</v>
      </c>
      <c r="B12" t="s">
        <v>37</v>
      </c>
      <c r="C12" t="s">
        <v>19</v>
      </c>
      <c r="D12">
        <v>4.4990033583788396</v>
      </c>
      <c r="E12">
        <v>6.2743263713990398</v>
      </c>
      <c r="F12">
        <v>6.3042931298510103</v>
      </c>
      <c r="G12">
        <v>6.7587584473792699</v>
      </c>
      <c r="H12">
        <v>6.2367881923133002</v>
      </c>
      <c r="I12">
        <v>6.3121670485503598</v>
      </c>
      <c r="J12">
        <v>6.0539232568583996</v>
      </c>
      <c r="K12">
        <v>6.58751122236818</v>
      </c>
      <c r="L12">
        <v>6.0216449405557704</v>
      </c>
      <c r="M12">
        <v>6.6530804683921501</v>
      </c>
      <c r="N12">
        <v>7.1317174385100399</v>
      </c>
      <c r="O12">
        <v>7.5047076732751101</v>
      </c>
      <c r="P12" t="str">
        <f>_xlfn.XLOOKUP($A12, DEG!$B:$B, DEG!$E:$E, "not sig")</f>
        <v>not sig</v>
      </c>
      <c r="Q12" t="str">
        <f>IFERROR(VALUE(_xlfn.XLOOKUP($A12, DEG!$B:$B, DEG!$D:$D)), "")</f>
        <v/>
      </c>
    </row>
    <row r="13" spans="1:17" x14ac:dyDescent="0.3">
      <c r="A13" t="s">
        <v>38</v>
      </c>
      <c r="B13" t="s">
        <v>39</v>
      </c>
      <c r="C13" t="s">
        <v>19</v>
      </c>
      <c r="D13">
        <v>7.9958190229606503</v>
      </c>
      <c r="E13">
        <v>8.1933790986462007</v>
      </c>
      <c r="F13">
        <v>8.2093396815557806</v>
      </c>
      <c r="G13">
        <v>8.01019029475464</v>
      </c>
      <c r="H13">
        <v>8.1258611753733092</v>
      </c>
      <c r="I13">
        <v>8.2321676250344904</v>
      </c>
      <c r="J13">
        <v>8.5174385839049904</v>
      </c>
      <c r="K13">
        <v>8.3427759549282801</v>
      </c>
      <c r="L13">
        <v>8.3063105256089003</v>
      </c>
      <c r="M13">
        <v>8.3540037141043104</v>
      </c>
      <c r="N13">
        <v>8.4102239332290996</v>
      </c>
      <c r="O13">
        <v>8.2527906634252002</v>
      </c>
      <c r="P13" t="str">
        <f>_xlfn.XLOOKUP($A13, DEG!$B:$B, DEG!$E:$E, "not sig")</f>
        <v>not sig</v>
      </c>
      <c r="Q13" t="str">
        <f>IFERROR(VALUE(_xlfn.XLOOKUP($A13, DEG!$B:$B, DEG!$D:$D)), "")</f>
        <v/>
      </c>
    </row>
    <row r="14" spans="1:17" x14ac:dyDescent="0.3">
      <c r="A14" t="s">
        <v>40</v>
      </c>
      <c r="B14" t="s">
        <v>41</v>
      </c>
      <c r="C14" t="s">
        <v>19</v>
      </c>
      <c r="D14">
        <v>3.73399370001566</v>
      </c>
      <c r="E14">
        <v>3.6972773558996899</v>
      </c>
      <c r="F14">
        <v>3.80151857459298</v>
      </c>
      <c r="G14">
        <v>3.52845233094834</v>
      </c>
      <c r="H14">
        <v>4.1511146816962299</v>
      </c>
      <c r="I14">
        <v>3.74766344580389</v>
      </c>
      <c r="J14">
        <v>3.3350618112600801</v>
      </c>
      <c r="K14">
        <v>3.5540186488942398</v>
      </c>
      <c r="L14">
        <v>3.2329950210910399</v>
      </c>
      <c r="M14">
        <v>3.1297540086329998</v>
      </c>
      <c r="N14">
        <v>3.7572261403191498</v>
      </c>
      <c r="O14">
        <v>3.6536820706301798</v>
      </c>
      <c r="P14" t="str">
        <f>_xlfn.XLOOKUP($A14, DEG!$B:$B, DEG!$E:$E, "not sig")</f>
        <v>not sig</v>
      </c>
      <c r="Q14" t="str">
        <f>IFERROR(VALUE(_xlfn.XLOOKUP($A14, DEG!$B:$B, DEG!$D:$D)), "")</f>
        <v/>
      </c>
    </row>
    <row r="15" spans="1:17" x14ac:dyDescent="0.3">
      <c r="A15" t="s">
        <v>42</v>
      </c>
      <c r="B15" t="s">
        <v>43</v>
      </c>
      <c r="C15" t="s">
        <v>19</v>
      </c>
      <c r="D15">
        <v>7.9958190229606503</v>
      </c>
      <c r="E15">
        <v>8.5385108213950804</v>
      </c>
      <c r="F15">
        <v>8.5492862263298104</v>
      </c>
      <c r="G15">
        <v>8.2612413757302807</v>
      </c>
      <c r="H15">
        <v>8.4329158187968503</v>
      </c>
      <c r="I15">
        <v>8.6163664486883</v>
      </c>
      <c r="J15">
        <v>8.4245796256062899</v>
      </c>
      <c r="K15">
        <v>8.4263535300228192</v>
      </c>
      <c r="L15">
        <v>8.5245854251225293</v>
      </c>
      <c r="M15">
        <v>8.39531988271278</v>
      </c>
      <c r="N15">
        <v>8.4195124771190404</v>
      </c>
      <c r="O15">
        <v>8.5101227313121903</v>
      </c>
      <c r="P15" t="str">
        <f>_xlfn.XLOOKUP($A15, DEG!$B:$B, DEG!$E:$E, "not sig")</f>
        <v>not sig</v>
      </c>
      <c r="Q15" t="str">
        <f>IFERROR(VALUE(_xlfn.XLOOKUP($A15, DEG!$B:$B, DEG!$D:$D)), "")</f>
        <v/>
      </c>
    </row>
    <row r="16" spans="1:17" x14ac:dyDescent="0.3">
      <c r="A16" t="s">
        <v>44</v>
      </c>
      <c r="B16" t="s">
        <v>45</v>
      </c>
      <c r="C16" t="s">
        <v>19</v>
      </c>
      <c r="D16">
        <v>2</v>
      </c>
      <c r="E16">
        <v>2</v>
      </c>
      <c r="F16">
        <v>2</v>
      </c>
      <c r="G16">
        <v>2</v>
      </c>
      <c r="H16">
        <v>2</v>
      </c>
      <c r="I16">
        <v>2.2802158844896701</v>
      </c>
      <c r="J16">
        <v>2.2513953633290602</v>
      </c>
      <c r="K16">
        <v>2.4722463617573101</v>
      </c>
      <c r="L16">
        <v>2.2545153577444799</v>
      </c>
      <c r="M16">
        <v>2</v>
      </c>
      <c r="N16">
        <v>2.2425884716395901</v>
      </c>
      <c r="O16">
        <v>2</v>
      </c>
      <c r="P16" t="str">
        <f>_xlfn.XLOOKUP($A16, DEG!$B:$B, DEG!$E:$E, "not sig")</f>
        <v>not sig</v>
      </c>
      <c r="Q16" t="str">
        <f>IFERROR(VALUE(_xlfn.XLOOKUP($A16, DEG!$B:$B, DEG!$D:$D)), "")</f>
        <v/>
      </c>
    </row>
    <row r="17" spans="1:17" x14ac:dyDescent="0.3">
      <c r="A17" t="s">
        <v>46</v>
      </c>
      <c r="B17" t="s">
        <v>47</v>
      </c>
      <c r="C17" t="s">
        <v>19</v>
      </c>
      <c r="D17">
        <v>3.73399370001566</v>
      </c>
      <c r="E17">
        <v>3.1527618065068701</v>
      </c>
      <c r="F17">
        <v>2.5380178840706802</v>
      </c>
      <c r="G17">
        <v>3.17409192153846</v>
      </c>
      <c r="H17">
        <v>3.1957511494293298</v>
      </c>
      <c r="I17">
        <v>3.3222951439366302</v>
      </c>
      <c r="J17">
        <v>2.2513953633290602</v>
      </c>
      <c r="K17">
        <v>2.8274415916521201</v>
      </c>
      <c r="L17">
        <v>3.1094338523667</v>
      </c>
      <c r="M17">
        <v>3.1297540086329998</v>
      </c>
      <c r="N17">
        <v>3.06948285544641</v>
      </c>
      <c r="O17">
        <v>2.9553357921019701</v>
      </c>
      <c r="P17" t="str">
        <f>_xlfn.XLOOKUP($A17, DEG!$B:$B, DEG!$E:$E, "not sig")</f>
        <v>not sig</v>
      </c>
      <c r="Q17" t="str">
        <f>IFERROR(VALUE(_xlfn.XLOOKUP($A17, DEG!$B:$B, DEG!$D:$D)), "")</f>
        <v/>
      </c>
    </row>
    <row r="18" spans="1:17" x14ac:dyDescent="0.3">
      <c r="A18" t="s">
        <v>48</v>
      </c>
      <c r="B18" t="s">
        <v>49</v>
      </c>
      <c r="C18" t="s">
        <v>19</v>
      </c>
      <c r="D18">
        <v>2</v>
      </c>
      <c r="E18">
        <v>2.4934393836814999</v>
      </c>
      <c r="F18">
        <v>2.5380178840706802</v>
      </c>
      <c r="G18">
        <v>2</v>
      </c>
      <c r="H18">
        <v>3.05348247799206</v>
      </c>
      <c r="I18">
        <v>2</v>
      </c>
      <c r="J18">
        <v>2.8167483325688401</v>
      </c>
      <c r="K18">
        <v>2.66074772660986</v>
      </c>
      <c r="L18">
        <v>2.2545153577444799</v>
      </c>
      <c r="M18">
        <v>2</v>
      </c>
      <c r="N18">
        <v>2.4501971893972798</v>
      </c>
      <c r="O18">
        <v>2.8519058192447102</v>
      </c>
      <c r="P18" t="str">
        <f>_xlfn.XLOOKUP($A18, DEG!$B:$B, DEG!$E:$E, "not sig")</f>
        <v>not sig</v>
      </c>
      <c r="Q18" t="str">
        <f>IFERROR(VALUE(_xlfn.XLOOKUP($A18, DEG!$B:$B, DEG!$D:$D)), "")</f>
        <v/>
      </c>
    </row>
    <row r="19" spans="1:17" x14ac:dyDescent="0.3">
      <c r="A19" t="s">
        <v>50</v>
      </c>
      <c r="B19" t="s">
        <v>51</v>
      </c>
      <c r="C19" t="s">
        <v>19</v>
      </c>
      <c r="D19">
        <v>6.7328776594865403</v>
      </c>
      <c r="E19">
        <v>7.06263407345992</v>
      </c>
      <c r="F19">
        <v>6.9462833124059502</v>
      </c>
      <c r="G19">
        <v>6.8868212004109903</v>
      </c>
      <c r="H19">
        <v>6.7563785719237304</v>
      </c>
      <c r="I19">
        <v>6.7516547768712396</v>
      </c>
      <c r="J19">
        <v>7.5151982877638801</v>
      </c>
      <c r="K19">
        <v>7.57488186042427</v>
      </c>
      <c r="L19">
        <v>6.8276544650118502</v>
      </c>
      <c r="M19">
        <v>7.2789073561322901</v>
      </c>
      <c r="N19">
        <v>6.9211582067772897</v>
      </c>
      <c r="O19">
        <v>7.3376860368935199</v>
      </c>
      <c r="P19" t="str">
        <f>_xlfn.XLOOKUP($A19, DEG!$B:$B, DEG!$E:$E, "not sig")</f>
        <v>not sig</v>
      </c>
      <c r="Q19" t="str">
        <f>IFERROR(VALUE(_xlfn.XLOOKUP($A19, DEG!$B:$B, DEG!$D:$D)), "")</f>
        <v/>
      </c>
    </row>
    <row r="20" spans="1:17" x14ac:dyDescent="0.3">
      <c r="A20" t="s">
        <v>52</v>
      </c>
      <c r="B20" t="s">
        <v>53</v>
      </c>
      <c r="C20" t="s">
        <v>19</v>
      </c>
      <c r="D20">
        <v>2</v>
      </c>
      <c r="E20">
        <v>2</v>
      </c>
      <c r="F20">
        <v>2.2939450220727999</v>
      </c>
      <c r="G20">
        <v>2.3941047195857399</v>
      </c>
      <c r="H20">
        <v>2</v>
      </c>
      <c r="I20">
        <v>2</v>
      </c>
      <c r="J20">
        <v>2.2513953633290602</v>
      </c>
      <c r="K20">
        <v>2</v>
      </c>
      <c r="L20">
        <v>2.2545153577444799</v>
      </c>
      <c r="M20">
        <v>2.48137274935242</v>
      </c>
      <c r="N20">
        <v>2</v>
      </c>
      <c r="O20">
        <v>2.18160798896192</v>
      </c>
      <c r="P20" t="str">
        <f>_xlfn.XLOOKUP($A20, DEG!$B:$B, DEG!$E:$E, "not sig")</f>
        <v>not sig</v>
      </c>
      <c r="Q20" t="str">
        <f>IFERROR(VALUE(_xlfn.XLOOKUP($A20, DEG!$B:$B, DEG!$D:$D)), "")</f>
        <v/>
      </c>
    </row>
    <row r="21" spans="1:17" x14ac:dyDescent="0.3">
      <c r="A21" t="s">
        <v>54</v>
      </c>
      <c r="B21" t="s">
        <v>55</v>
      </c>
      <c r="C21" t="s">
        <v>16</v>
      </c>
      <c r="D21">
        <v>2</v>
      </c>
      <c r="E21">
        <v>2.26771380353851</v>
      </c>
      <c r="F21">
        <v>3.4894941851175201</v>
      </c>
      <c r="G21">
        <v>2.3941047195857399</v>
      </c>
      <c r="H21">
        <v>2</v>
      </c>
      <c r="I21">
        <v>2.7164464244056599</v>
      </c>
      <c r="J21">
        <v>4.2068930489114198</v>
      </c>
      <c r="K21">
        <v>4.3950480713483602</v>
      </c>
      <c r="L21">
        <v>3.1094338523667</v>
      </c>
      <c r="M21">
        <v>3.3697655632761001</v>
      </c>
      <c r="N21">
        <v>2.79281701595042</v>
      </c>
      <c r="O21">
        <v>4.6703624187423696</v>
      </c>
      <c r="P21">
        <f>_xlfn.XLOOKUP($A21, DEG!$B:$B, DEG!$E:$E, "not sig")</f>
        <v>2.27506777407873E-2</v>
      </c>
      <c r="Q21">
        <f>IFERROR(VALUE(_xlfn.XLOOKUP($A21, DEG!$B:$B, DEG!$D:$D)), "")</f>
        <v>2.2636105786302601</v>
      </c>
    </row>
    <row r="22" spans="1:17" x14ac:dyDescent="0.3">
      <c r="A22" t="s">
        <v>56</v>
      </c>
      <c r="B22" t="s">
        <v>57</v>
      </c>
      <c r="C22" t="s">
        <v>19</v>
      </c>
      <c r="D22">
        <v>2</v>
      </c>
      <c r="E22">
        <v>2</v>
      </c>
      <c r="F22">
        <v>2.2939450220727999</v>
      </c>
      <c r="G22">
        <v>2</v>
      </c>
      <c r="H22">
        <v>2.2810830930747699</v>
      </c>
      <c r="I22">
        <v>2.2802158844896701</v>
      </c>
      <c r="J22">
        <v>2.4654163157481799</v>
      </c>
      <c r="K22">
        <v>3.34997177423321</v>
      </c>
      <c r="L22">
        <v>2.9742904403188701</v>
      </c>
      <c r="M22">
        <v>2.48137274935242</v>
      </c>
      <c r="N22">
        <v>2.79281701595042</v>
      </c>
      <c r="O22">
        <v>2.9553357921019701</v>
      </c>
      <c r="P22" t="str">
        <f>_xlfn.XLOOKUP($A22, DEG!$B:$B, DEG!$E:$E, "not sig")</f>
        <v>not sig</v>
      </c>
      <c r="Q22" t="str">
        <f>IFERROR(VALUE(_xlfn.XLOOKUP($A22, DEG!$B:$B, DEG!$D:$D)), "")</f>
        <v/>
      </c>
    </row>
    <row r="23" spans="1:17" x14ac:dyDescent="0.3">
      <c r="A23" t="s">
        <v>58</v>
      </c>
      <c r="B23" t="s">
        <v>59</v>
      </c>
      <c r="C23" t="s">
        <v>19</v>
      </c>
      <c r="D23">
        <v>2</v>
      </c>
      <c r="E23">
        <v>2.4934393836814999</v>
      </c>
      <c r="F23">
        <v>2</v>
      </c>
      <c r="G23">
        <v>2.3941047195857399</v>
      </c>
      <c r="H23">
        <v>2.2810830930747699</v>
      </c>
      <c r="I23">
        <v>2</v>
      </c>
      <c r="J23">
        <v>2</v>
      </c>
      <c r="K23">
        <v>2.4722463617573101</v>
      </c>
      <c r="L23">
        <v>2.8251666944490501</v>
      </c>
      <c r="M23">
        <v>2</v>
      </c>
      <c r="N23">
        <v>2.4501971893972798</v>
      </c>
      <c r="O23">
        <v>2</v>
      </c>
      <c r="P23" t="str">
        <f>_xlfn.XLOOKUP($A23, DEG!$B:$B, DEG!$E:$E, "not sig")</f>
        <v>not sig</v>
      </c>
      <c r="Q23" t="str">
        <f>IFERROR(VALUE(_xlfn.XLOOKUP($A23, DEG!$B:$B, DEG!$D:$D)), "")</f>
        <v/>
      </c>
    </row>
    <row r="24" spans="1:17" x14ac:dyDescent="0.3">
      <c r="A24" t="s">
        <v>60</v>
      </c>
      <c r="B24" t="s">
        <v>61</v>
      </c>
      <c r="C24" t="s">
        <v>19</v>
      </c>
      <c r="D24">
        <v>2</v>
      </c>
      <c r="E24">
        <v>2.26771380353851</v>
      </c>
      <c r="F24">
        <v>2.2939450220727999</v>
      </c>
      <c r="G24">
        <v>2.3941047195857399</v>
      </c>
      <c r="H24">
        <v>2.2810830930747699</v>
      </c>
      <c r="I24">
        <v>2.2802158844896701</v>
      </c>
      <c r="J24">
        <v>2.4654163157481799</v>
      </c>
      <c r="K24">
        <v>2.8274415916521201</v>
      </c>
      <c r="L24">
        <v>2.8251666944490501</v>
      </c>
      <c r="M24">
        <v>2.2606709117976398</v>
      </c>
      <c r="N24">
        <v>2.2425884716395901</v>
      </c>
      <c r="O24">
        <v>2</v>
      </c>
      <c r="P24" t="str">
        <f>_xlfn.XLOOKUP($A24, DEG!$B:$B, DEG!$E:$E, "not sig")</f>
        <v>not sig</v>
      </c>
      <c r="Q24" t="str">
        <f>IFERROR(VALUE(_xlfn.XLOOKUP($A24, DEG!$B:$B, DEG!$D:$D)), "")</f>
        <v/>
      </c>
    </row>
    <row r="25" spans="1:17" x14ac:dyDescent="0.3">
      <c r="A25" t="s">
        <v>62</v>
      </c>
      <c r="B25" t="s">
        <v>63</v>
      </c>
      <c r="C25" t="s">
        <v>19</v>
      </c>
      <c r="D25">
        <v>2</v>
      </c>
      <c r="E25">
        <v>2</v>
      </c>
      <c r="F25">
        <v>2.2939450220727999</v>
      </c>
      <c r="G25">
        <v>2</v>
      </c>
      <c r="H25">
        <v>2</v>
      </c>
      <c r="I25">
        <v>2</v>
      </c>
      <c r="J25">
        <v>2.2513953633290602</v>
      </c>
      <c r="K25">
        <v>3.11223541799002</v>
      </c>
      <c r="L25">
        <v>3.1094338523667</v>
      </c>
      <c r="M25">
        <v>2.48137274935242</v>
      </c>
      <c r="N25">
        <v>3.5013804976520699</v>
      </c>
      <c r="O25">
        <v>2.9553357921019701</v>
      </c>
      <c r="P25" t="str">
        <f>_xlfn.XLOOKUP($A25, DEG!$B:$B, DEG!$E:$E, "not sig")</f>
        <v>not sig</v>
      </c>
      <c r="Q25" t="str">
        <f>IFERROR(VALUE(_xlfn.XLOOKUP($A25, DEG!$B:$B, DEG!$D:$D)), "")</f>
        <v/>
      </c>
    </row>
    <row r="26" spans="1:17" x14ac:dyDescent="0.3">
      <c r="A26" t="s">
        <v>64</v>
      </c>
      <c r="B26" t="s">
        <v>65</v>
      </c>
      <c r="C26" t="s">
        <v>19</v>
      </c>
      <c r="D26">
        <v>2</v>
      </c>
      <c r="E26">
        <v>2.68857928676981</v>
      </c>
      <c r="F26">
        <v>2.5380178840706802</v>
      </c>
      <c r="G26">
        <v>3.3621248098817702</v>
      </c>
      <c r="H26">
        <v>3.05348247799206</v>
      </c>
      <c r="I26">
        <v>3.4409589562196801</v>
      </c>
      <c r="J26">
        <v>3.09905760588408</v>
      </c>
      <c r="K26">
        <v>3.34997177423321</v>
      </c>
      <c r="L26">
        <v>3.3468034549180001</v>
      </c>
      <c r="M26">
        <v>2.84168563095003</v>
      </c>
      <c r="N26">
        <v>3.1901688267258699</v>
      </c>
      <c r="O26">
        <v>2.7404840918382498</v>
      </c>
      <c r="P26" t="str">
        <f>_xlfn.XLOOKUP($A26, DEG!$B:$B, DEG!$E:$E, "not sig")</f>
        <v>not sig</v>
      </c>
      <c r="Q26" t="str">
        <f>IFERROR(VALUE(_xlfn.XLOOKUP($A26, DEG!$B:$B, DEG!$D:$D)), "")</f>
        <v/>
      </c>
    </row>
    <row r="27" spans="1:17" x14ac:dyDescent="0.3">
      <c r="A27" t="s">
        <v>66</v>
      </c>
      <c r="B27" t="s">
        <v>67</v>
      </c>
      <c r="C27" t="s">
        <v>19</v>
      </c>
      <c r="D27">
        <v>5.9029267080750598</v>
      </c>
      <c r="E27">
        <v>5.4037082407935202</v>
      </c>
      <c r="F27">
        <v>5.3597339210230999</v>
      </c>
      <c r="G27">
        <v>5.4246449864731199</v>
      </c>
      <c r="H27">
        <v>5.1282676445603199</v>
      </c>
      <c r="I27">
        <v>5.1931898828091301</v>
      </c>
      <c r="J27">
        <v>5.3684240858796102</v>
      </c>
      <c r="K27">
        <v>5.3363968524457004</v>
      </c>
      <c r="L27">
        <v>5.7592379578206803</v>
      </c>
      <c r="M27">
        <v>5.4200443944561503</v>
      </c>
      <c r="N27">
        <v>5.2639859804054998</v>
      </c>
      <c r="O27">
        <v>5.3201766333145999</v>
      </c>
      <c r="P27" t="str">
        <f>_xlfn.XLOOKUP($A27, DEG!$B:$B, DEG!$E:$E, "not sig")</f>
        <v>not sig</v>
      </c>
      <c r="Q27" t="str">
        <f>IFERROR(VALUE(_xlfn.XLOOKUP($A27, DEG!$B:$B, DEG!$D:$D)), "")</f>
        <v/>
      </c>
    </row>
    <row r="28" spans="1:17" x14ac:dyDescent="0.3">
      <c r="A28" t="s">
        <v>68</v>
      </c>
      <c r="B28" t="s">
        <v>69</v>
      </c>
      <c r="C28" t="s">
        <v>19</v>
      </c>
      <c r="D28">
        <v>3.73399370001566</v>
      </c>
      <c r="E28">
        <v>4.3442520572206798</v>
      </c>
      <c r="F28">
        <v>3.70481947532619</v>
      </c>
      <c r="G28">
        <v>3.3621248098817702</v>
      </c>
      <c r="H28">
        <v>4.0041399443663197</v>
      </c>
      <c r="I28">
        <v>3.4409589562196801</v>
      </c>
      <c r="J28">
        <v>4.66221009661363</v>
      </c>
      <c r="K28">
        <v>5.0962151215986102</v>
      </c>
      <c r="L28">
        <v>4.5418551223060799</v>
      </c>
      <c r="M28">
        <v>3.98933365103438</v>
      </c>
      <c r="N28">
        <v>3.5917983118452601</v>
      </c>
      <c r="O28">
        <v>4.0304728308821502</v>
      </c>
      <c r="P28" t="str">
        <f>_xlfn.XLOOKUP($A28, DEG!$B:$B, DEG!$E:$E, "not sig")</f>
        <v>not sig</v>
      </c>
      <c r="Q28" t="str">
        <f>IFERROR(VALUE(_xlfn.XLOOKUP($A28, DEG!$B:$B, DEG!$D:$D)), "")</f>
        <v/>
      </c>
    </row>
    <row r="29" spans="1:17" x14ac:dyDescent="0.3">
      <c r="A29" t="s">
        <v>70</v>
      </c>
      <c r="B29" t="s">
        <v>71</v>
      </c>
      <c r="C29" t="s">
        <v>19</v>
      </c>
      <c r="D29">
        <v>4.4990033583788396</v>
      </c>
      <c r="E29">
        <v>4.1590721020567196</v>
      </c>
      <c r="F29">
        <v>3.8921413932029698</v>
      </c>
      <c r="G29">
        <v>4.7342839173419797</v>
      </c>
      <c r="H29">
        <v>4.6730293078832403</v>
      </c>
      <c r="I29">
        <v>3.74766344580389</v>
      </c>
      <c r="J29">
        <v>4.7868250337989302</v>
      </c>
      <c r="K29">
        <v>4.7674466802095496</v>
      </c>
      <c r="L29">
        <v>3.8879498634524099</v>
      </c>
      <c r="M29">
        <v>4.5242786215122299</v>
      </c>
      <c r="N29">
        <v>4.5714497107144796</v>
      </c>
      <c r="O29">
        <v>5.0666230881711103</v>
      </c>
      <c r="P29" t="str">
        <f>_xlfn.XLOOKUP($A29, DEG!$B:$B, DEG!$E:$E, "not sig")</f>
        <v>not sig</v>
      </c>
      <c r="Q29" t="str">
        <f>IFERROR(VALUE(_xlfn.XLOOKUP($A29, DEG!$B:$B, DEG!$D:$D)), "")</f>
        <v/>
      </c>
    </row>
    <row r="30" spans="1:17" x14ac:dyDescent="0.3">
      <c r="A30" t="s">
        <v>72</v>
      </c>
      <c r="B30" t="s">
        <v>73</v>
      </c>
      <c r="C30" t="s">
        <v>19</v>
      </c>
      <c r="D30">
        <v>3.73399370001566</v>
      </c>
      <c r="E30">
        <v>2.4934393836814999</v>
      </c>
      <c r="F30">
        <v>2.5380178840706802</v>
      </c>
      <c r="G30">
        <v>2</v>
      </c>
      <c r="H30">
        <v>2.51623057644212</v>
      </c>
      <c r="I30">
        <v>2.5147567090274201</v>
      </c>
      <c r="J30">
        <v>3.7155834360278601</v>
      </c>
      <c r="K30">
        <v>3.8917593736888199</v>
      </c>
      <c r="L30">
        <v>2.4707917980286198</v>
      </c>
      <c r="M30">
        <v>2.48137274935242</v>
      </c>
      <c r="N30">
        <v>2.2425884716395901</v>
      </c>
      <c r="O30">
        <v>4.2497862043875303</v>
      </c>
      <c r="P30" t="str">
        <f>_xlfn.XLOOKUP($A30, DEG!$B:$B, DEG!$E:$E, "not sig")</f>
        <v>not sig</v>
      </c>
      <c r="Q30" t="str">
        <f>IFERROR(VALUE(_xlfn.XLOOKUP($A30, DEG!$B:$B, DEG!$D:$D)), "")</f>
        <v/>
      </c>
    </row>
    <row r="31" spans="1:17" x14ac:dyDescent="0.3">
      <c r="A31" t="s">
        <v>74</v>
      </c>
      <c r="B31" t="s">
        <v>75</v>
      </c>
      <c r="C31" t="s">
        <v>19</v>
      </c>
      <c r="D31">
        <v>8.4442617669195794</v>
      </c>
      <c r="E31">
        <v>4.9116442347188896</v>
      </c>
      <c r="F31">
        <v>4.68340796437103</v>
      </c>
      <c r="G31">
        <v>2.9578262391703598</v>
      </c>
      <c r="H31">
        <v>4.8120853184475303</v>
      </c>
      <c r="I31">
        <v>3.6524937905374699</v>
      </c>
      <c r="J31">
        <v>3.9468685544442499</v>
      </c>
      <c r="K31">
        <v>4.1652400607290696</v>
      </c>
      <c r="L31">
        <v>4.4429444256511497</v>
      </c>
      <c r="M31">
        <v>3.47628907901372</v>
      </c>
      <c r="N31">
        <v>3.3015337576036599</v>
      </c>
      <c r="O31">
        <v>3.7139173076948402</v>
      </c>
      <c r="P31" t="str">
        <f>_xlfn.XLOOKUP($A31, DEG!$B:$B, DEG!$E:$E, "not sig")</f>
        <v>not sig</v>
      </c>
      <c r="Q31" t="str">
        <f>IFERROR(VALUE(_xlfn.XLOOKUP($A31, DEG!$B:$B, DEG!$D:$D)), "")</f>
        <v/>
      </c>
    </row>
    <row r="32" spans="1:17" x14ac:dyDescent="0.3">
      <c r="A32" t="s">
        <v>76</v>
      </c>
      <c r="B32" t="s">
        <v>77</v>
      </c>
      <c r="C32" t="s">
        <v>19</v>
      </c>
      <c r="D32">
        <v>8.9304610835357199</v>
      </c>
      <c r="E32">
        <v>6.4188546804309397</v>
      </c>
      <c r="F32">
        <v>6.4000558858900902</v>
      </c>
      <c r="G32">
        <v>6.2407142308249401</v>
      </c>
      <c r="H32">
        <v>6.3628006475158703</v>
      </c>
      <c r="I32">
        <v>6.0197675435043303</v>
      </c>
      <c r="J32">
        <v>6.5639260037629299</v>
      </c>
      <c r="K32">
        <v>6.8129473518581802</v>
      </c>
      <c r="L32">
        <v>6.4229799340582199</v>
      </c>
      <c r="M32">
        <v>6.3369591468694297</v>
      </c>
      <c r="N32">
        <v>6.3118438083594501</v>
      </c>
      <c r="O32">
        <v>6.7985407096697896</v>
      </c>
      <c r="P32" t="str">
        <f>_xlfn.XLOOKUP($A32, DEG!$B:$B, DEG!$E:$E, "not sig")</f>
        <v>not sig</v>
      </c>
      <c r="Q32" t="str">
        <f>IFERROR(VALUE(_xlfn.XLOOKUP($A32, DEG!$B:$B, DEG!$D:$D)), "")</f>
        <v/>
      </c>
    </row>
    <row r="33" spans="1:17" x14ac:dyDescent="0.3">
      <c r="A33" t="s">
        <v>78</v>
      </c>
      <c r="B33" t="s">
        <v>79</v>
      </c>
      <c r="C33" t="s">
        <v>19</v>
      </c>
      <c r="D33">
        <v>3.73399370001566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  <c r="L33">
        <v>2.2545153577444799</v>
      </c>
      <c r="M33">
        <v>2</v>
      </c>
      <c r="N33">
        <v>2</v>
      </c>
      <c r="O33">
        <v>2.18160798896192</v>
      </c>
      <c r="P33" t="str">
        <f>_xlfn.XLOOKUP($A33, DEG!$B:$B, DEG!$E:$E, "not sig")</f>
        <v>not sig</v>
      </c>
      <c r="Q33" t="str">
        <f>IFERROR(VALUE(_xlfn.XLOOKUP($A33, DEG!$B:$B, DEG!$D:$D)), "")</f>
        <v/>
      </c>
    </row>
    <row r="34" spans="1:17" x14ac:dyDescent="0.3">
      <c r="A34" t="s">
        <v>80</v>
      </c>
      <c r="B34" t="s">
        <v>81</v>
      </c>
      <c r="C34" t="s">
        <v>19</v>
      </c>
      <c r="D34">
        <v>4.4990033583788396</v>
      </c>
      <c r="E34">
        <v>5.22648384321388</v>
      </c>
      <c r="F34">
        <v>5.4814883442780902</v>
      </c>
      <c r="G34">
        <v>6.0349396584617399</v>
      </c>
      <c r="H34">
        <v>6.6736792249637196</v>
      </c>
      <c r="I34">
        <v>5.7478000832318701</v>
      </c>
      <c r="J34">
        <v>4.7464709803648804</v>
      </c>
      <c r="K34">
        <v>6.4914276266264102</v>
      </c>
      <c r="L34">
        <v>6.5825112800977097</v>
      </c>
      <c r="M34">
        <v>6.1075981792537402</v>
      </c>
      <c r="N34">
        <v>6.2155928025157898</v>
      </c>
      <c r="O34">
        <v>6.5568427000183496</v>
      </c>
      <c r="P34" t="str">
        <f>_xlfn.XLOOKUP($A34, DEG!$B:$B, DEG!$E:$E, "not sig")</f>
        <v>not sig</v>
      </c>
      <c r="Q34" t="str">
        <f>IFERROR(VALUE(_xlfn.XLOOKUP($A34, DEG!$B:$B, DEG!$D:$D)), "")</f>
        <v/>
      </c>
    </row>
    <row r="35" spans="1:17" x14ac:dyDescent="0.3">
      <c r="A35" t="s">
        <v>82</v>
      </c>
      <c r="B35" t="s">
        <v>83</v>
      </c>
      <c r="C35" t="s">
        <v>16</v>
      </c>
      <c r="D35">
        <v>6.1114751626697998</v>
      </c>
      <c r="E35">
        <v>4.7016068037963796</v>
      </c>
      <c r="F35">
        <v>5.0010153582085204</v>
      </c>
      <c r="G35">
        <v>4.9253666260357001</v>
      </c>
      <c r="H35">
        <v>4.4639473331594299</v>
      </c>
      <c r="I35">
        <v>4.6194219683547999</v>
      </c>
      <c r="J35">
        <v>4.9378199157455596</v>
      </c>
      <c r="K35">
        <v>6.4789544350237396</v>
      </c>
      <c r="L35">
        <v>5.3859571885872999</v>
      </c>
      <c r="M35">
        <v>5.1572747192981598</v>
      </c>
      <c r="N35">
        <v>5.4924115338255799</v>
      </c>
      <c r="O35">
        <v>7.1156560879449904</v>
      </c>
      <c r="P35">
        <f>_xlfn.XLOOKUP($A35, DEG!$B:$B, DEG!$E:$E, "not sig")</f>
        <v>3.3904779213553601E-2</v>
      </c>
      <c r="Q35">
        <f>IFERROR(VALUE(_xlfn.XLOOKUP($A35, DEG!$B:$B, DEG!$D:$D)), "")</f>
        <v>1.18855783832747</v>
      </c>
    </row>
    <row r="36" spans="1:17" x14ac:dyDescent="0.3">
      <c r="A36" t="s">
        <v>84</v>
      </c>
      <c r="B36" t="s">
        <v>85</v>
      </c>
      <c r="C36" t="s">
        <v>19</v>
      </c>
      <c r="D36">
        <v>2</v>
      </c>
      <c r="E36">
        <v>2</v>
      </c>
      <c r="F36">
        <v>2.5380178840706802</v>
      </c>
      <c r="G36">
        <v>2</v>
      </c>
      <c r="H36">
        <v>2.2810830930747699</v>
      </c>
      <c r="I36">
        <v>2.5147567090274201</v>
      </c>
      <c r="J36">
        <v>2.2513953633290602</v>
      </c>
      <c r="K36">
        <v>2.25536044237219</v>
      </c>
      <c r="L36">
        <v>2</v>
      </c>
      <c r="M36">
        <v>2.2606709117976398</v>
      </c>
      <c r="N36">
        <v>2</v>
      </c>
      <c r="O36">
        <v>2.34288982832796</v>
      </c>
      <c r="P36" t="str">
        <f>_xlfn.XLOOKUP($A36, DEG!$B:$B, DEG!$E:$E, "not sig")</f>
        <v>not sig</v>
      </c>
      <c r="Q36" t="str">
        <f>IFERROR(VALUE(_xlfn.XLOOKUP($A36, DEG!$B:$B, DEG!$D:$D)), "")</f>
        <v/>
      </c>
    </row>
    <row r="37" spans="1:17" x14ac:dyDescent="0.3">
      <c r="A37" t="s">
        <v>86</v>
      </c>
      <c r="B37" t="s">
        <v>87</v>
      </c>
      <c r="C37" t="s">
        <v>19</v>
      </c>
      <c r="D37">
        <v>6.9655146613511603</v>
      </c>
      <c r="E37">
        <v>6.5376029679898604</v>
      </c>
      <c r="F37">
        <v>5.9923349412939597</v>
      </c>
      <c r="G37">
        <v>6.1669450525962901</v>
      </c>
      <c r="H37">
        <v>6.18654350096556</v>
      </c>
      <c r="I37">
        <v>6.0940877580222601</v>
      </c>
      <c r="J37">
        <v>6.5167183063892198</v>
      </c>
      <c r="K37">
        <v>6.3061521602855404</v>
      </c>
      <c r="L37">
        <v>6.2726815725365102</v>
      </c>
      <c r="M37">
        <v>6.1403696437045401</v>
      </c>
      <c r="N37">
        <v>6.4268491607749896</v>
      </c>
      <c r="O37">
        <v>6.1835540577824499</v>
      </c>
      <c r="P37" t="str">
        <f>_xlfn.XLOOKUP($A37, DEG!$B:$B, DEG!$E:$E, "not sig")</f>
        <v>not sig</v>
      </c>
      <c r="Q37" t="str">
        <f>IFERROR(VALUE(_xlfn.XLOOKUP($A37, DEG!$B:$B, DEG!$D:$D)), "")</f>
        <v/>
      </c>
    </row>
    <row r="38" spans="1:17" x14ac:dyDescent="0.3">
      <c r="A38" t="s">
        <v>88</v>
      </c>
      <c r="B38" t="s">
        <v>89</v>
      </c>
      <c r="C38" t="s">
        <v>19</v>
      </c>
      <c r="D38">
        <v>7.570750632178</v>
      </c>
      <c r="E38">
        <v>7.1970099609737099</v>
      </c>
      <c r="F38">
        <v>7.0581564541860997</v>
      </c>
      <c r="G38">
        <v>7.12621783619353</v>
      </c>
      <c r="H38">
        <v>7.1980117848260301</v>
      </c>
      <c r="I38">
        <v>7.0971207455071497</v>
      </c>
      <c r="J38">
        <v>7.4093235243414703</v>
      </c>
      <c r="K38">
        <v>7.5923576797936203</v>
      </c>
      <c r="L38">
        <v>7.2049974501768697</v>
      </c>
      <c r="M38">
        <v>7.3506803227766797</v>
      </c>
      <c r="N38">
        <v>7.35468985133432</v>
      </c>
      <c r="O38">
        <v>7.9362168390139196</v>
      </c>
      <c r="P38" t="str">
        <f>_xlfn.XLOOKUP($A38, DEG!$B:$B, DEG!$E:$E, "not sig")</f>
        <v>not sig</v>
      </c>
      <c r="Q38" t="str">
        <f>IFERROR(VALUE(_xlfn.XLOOKUP($A38, DEG!$B:$B, DEG!$D:$D)), "")</f>
        <v/>
      </c>
    </row>
    <row r="39" spans="1:17" x14ac:dyDescent="0.3">
      <c r="A39" t="s">
        <v>90</v>
      </c>
      <c r="B39" t="s">
        <v>91</v>
      </c>
      <c r="C39" t="s">
        <v>19</v>
      </c>
      <c r="D39">
        <v>5.6590533523755697</v>
      </c>
      <c r="E39">
        <v>5.0601074385029197</v>
      </c>
      <c r="F39">
        <v>5.2267491377042496</v>
      </c>
      <c r="G39">
        <v>4.9838225483276597</v>
      </c>
      <c r="H39">
        <v>5.0176589163647298</v>
      </c>
      <c r="I39">
        <v>4.7167256630171099</v>
      </c>
      <c r="J39">
        <v>5.2289334830646901</v>
      </c>
      <c r="K39">
        <v>5.9562931356927402</v>
      </c>
      <c r="L39">
        <v>4.9901666358397199</v>
      </c>
      <c r="M39">
        <v>4.9875482339886696</v>
      </c>
      <c r="N39">
        <v>5.1194834430959899</v>
      </c>
      <c r="O39">
        <v>5.9655121130103597</v>
      </c>
      <c r="P39" t="str">
        <f>_xlfn.XLOOKUP($A39, DEG!$B:$B, DEG!$E:$E, "not sig")</f>
        <v>not sig</v>
      </c>
      <c r="Q39" t="str">
        <f>IFERROR(VALUE(_xlfn.XLOOKUP($A39, DEG!$B:$B, DEG!$D:$D)), "")</f>
        <v/>
      </c>
    </row>
    <row r="40" spans="1:17" x14ac:dyDescent="0.3">
      <c r="A40" t="s">
        <v>92</v>
      </c>
      <c r="B40" t="s">
        <v>93</v>
      </c>
      <c r="C40" t="s">
        <v>19</v>
      </c>
      <c r="D40">
        <v>2</v>
      </c>
      <c r="E40">
        <v>3.3957144768096001</v>
      </c>
      <c r="F40">
        <v>4.3413557495970698</v>
      </c>
      <c r="G40">
        <v>4.7342839173419797</v>
      </c>
      <c r="H40">
        <v>3.4440596496117601</v>
      </c>
      <c r="I40">
        <v>4.2154928594043302</v>
      </c>
      <c r="J40">
        <v>3.8738171681767102</v>
      </c>
      <c r="K40">
        <v>3.6461502817414502</v>
      </c>
      <c r="L40">
        <v>3.8107121438176299</v>
      </c>
      <c r="M40">
        <v>4.0595530343716</v>
      </c>
      <c r="N40">
        <v>4.2766107984642296</v>
      </c>
      <c r="O40">
        <v>4.2899143747530903</v>
      </c>
      <c r="P40" t="str">
        <f>_xlfn.XLOOKUP($A40, DEG!$B:$B, DEG!$E:$E, "not sig")</f>
        <v>not sig</v>
      </c>
      <c r="Q40" t="str">
        <f>IFERROR(VALUE(_xlfn.XLOOKUP($A40, DEG!$B:$B, DEG!$D:$D)), "")</f>
        <v/>
      </c>
    </row>
    <row r="41" spans="1:17" x14ac:dyDescent="0.3">
      <c r="A41" t="s">
        <v>94</v>
      </c>
      <c r="B41" t="s">
        <v>95</v>
      </c>
      <c r="C41" t="s">
        <v>19</v>
      </c>
      <c r="D41">
        <v>5.3653979596127099</v>
      </c>
      <c r="E41">
        <v>4.9502167281636797</v>
      </c>
      <c r="F41">
        <v>4.7815048415363801</v>
      </c>
      <c r="G41">
        <v>4.8008301746741902</v>
      </c>
      <c r="H41">
        <v>4.8556103363486498</v>
      </c>
      <c r="I41">
        <v>4.5681930462865603</v>
      </c>
      <c r="J41">
        <v>4.6181593067246798</v>
      </c>
      <c r="K41">
        <v>5.1910295570093696</v>
      </c>
      <c r="L41">
        <v>4.0975750303464</v>
      </c>
      <c r="M41">
        <v>4.2517731633252804</v>
      </c>
      <c r="N41">
        <v>4.6577065902801804</v>
      </c>
      <c r="O41">
        <v>5.1343099503738596</v>
      </c>
      <c r="P41" t="str">
        <f>_xlfn.XLOOKUP($A41, DEG!$B:$B, DEG!$E:$E, "not sig")</f>
        <v>not sig</v>
      </c>
      <c r="Q41" t="str">
        <f>IFERROR(VALUE(_xlfn.XLOOKUP($A41, DEG!$B:$B, DEG!$D:$D)), "")</f>
        <v/>
      </c>
    </row>
    <row r="42" spans="1:17" x14ac:dyDescent="0.3">
      <c r="A42" t="s">
        <v>96</v>
      </c>
      <c r="B42" t="s">
        <v>97</v>
      </c>
      <c r="C42" t="s">
        <v>19</v>
      </c>
      <c r="D42">
        <v>2</v>
      </c>
      <c r="E42">
        <v>2.26771380353851</v>
      </c>
      <c r="F42">
        <v>2</v>
      </c>
      <c r="G42">
        <v>2</v>
      </c>
      <c r="H42">
        <v>2</v>
      </c>
      <c r="I42">
        <v>2</v>
      </c>
      <c r="J42">
        <v>2.4654163157481799</v>
      </c>
      <c r="K42">
        <v>2</v>
      </c>
      <c r="L42">
        <v>2.2545153577444799</v>
      </c>
      <c r="M42">
        <v>2</v>
      </c>
      <c r="N42">
        <v>2.4501971893972798</v>
      </c>
      <c r="O42">
        <v>2.8519058192447102</v>
      </c>
      <c r="P42" t="str">
        <f>_xlfn.XLOOKUP($A42, DEG!$B:$B, DEG!$E:$E, "not sig")</f>
        <v>not sig</v>
      </c>
      <c r="Q42" t="str">
        <f>IFERROR(VALUE(_xlfn.XLOOKUP($A42, DEG!$B:$B, DEG!$D:$D)), "")</f>
        <v/>
      </c>
    </row>
    <row r="43" spans="1:17" x14ac:dyDescent="0.3">
      <c r="A43" t="s">
        <v>98</v>
      </c>
      <c r="B43" t="s">
        <v>99</v>
      </c>
      <c r="C43" t="s">
        <v>19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2.25536044237219</v>
      </c>
      <c r="L43">
        <v>2.2545153577444799</v>
      </c>
      <c r="M43">
        <v>2.2606709117976398</v>
      </c>
      <c r="N43">
        <v>2</v>
      </c>
      <c r="O43">
        <v>2.8519058192447102</v>
      </c>
      <c r="P43" t="str">
        <f>_xlfn.XLOOKUP($A43, DEG!$B:$B, DEG!$E:$E, "not sig")</f>
        <v>not sig</v>
      </c>
      <c r="Q43" t="str">
        <f>IFERROR(VALUE(_xlfn.XLOOKUP($A43, DEG!$B:$B, DEG!$D:$D)), "")</f>
        <v/>
      </c>
    </row>
    <row r="44" spans="1:17" x14ac:dyDescent="0.3">
      <c r="A44" t="s">
        <v>100</v>
      </c>
      <c r="B44" t="s">
        <v>101</v>
      </c>
      <c r="C44" t="s">
        <v>16</v>
      </c>
      <c r="D44">
        <v>3.73399370001566</v>
      </c>
      <c r="E44">
        <v>3.5033929027217301</v>
      </c>
      <c r="F44">
        <v>2.9289975304140499</v>
      </c>
      <c r="G44">
        <v>3.8127101835324901</v>
      </c>
      <c r="H44">
        <v>3.75110997686861</v>
      </c>
      <c r="I44">
        <v>3.6524937905374699</v>
      </c>
      <c r="J44">
        <v>4.9015267664567004</v>
      </c>
      <c r="K44">
        <v>5.0293566106152596</v>
      </c>
      <c r="L44">
        <v>3.96126178495475</v>
      </c>
      <c r="M44">
        <v>4.4213675623287099</v>
      </c>
      <c r="N44">
        <v>4.3301271900609803</v>
      </c>
      <c r="O44">
        <v>5.1777322644231401</v>
      </c>
      <c r="P44">
        <f>_xlfn.XLOOKUP($A44, DEG!$B:$B, DEG!$E:$E, "not sig")</f>
        <v>1.1910634135632299E-3</v>
      </c>
      <c r="Q44">
        <f>IFERROR(VALUE(_xlfn.XLOOKUP($A44, DEG!$B:$B, DEG!$D:$D)), "")</f>
        <v>1.5053525212013199</v>
      </c>
    </row>
    <row r="45" spans="1:17" x14ac:dyDescent="0.3">
      <c r="A45" t="s">
        <v>102</v>
      </c>
      <c r="B45" t="s">
        <v>103</v>
      </c>
      <c r="C45" t="s">
        <v>16</v>
      </c>
      <c r="D45">
        <v>5.3653979596127099</v>
      </c>
      <c r="E45">
        <v>4.0209387893491302</v>
      </c>
      <c r="F45">
        <v>3.70481947532619</v>
      </c>
      <c r="G45">
        <v>3.6775709672577701</v>
      </c>
      <c r="H45">
        <v>3.75110997686861</v>
      </c>
      <c r="I45">
        <v>3.3222951439366302</v>
      </c>
      <c r="J45">
        <v>5.3947738421384601</v>
      </c>
      <c r="K45">
        <v>7.1795657455805797</v>
      </c>
      <c r="L45">
        <v>4.4429444256511497</v>
      </c>
      <c r="M45">
        <v>4.9510681654998896</v>
      </c>
      <c r="N45">
        <v>5.6480224333109499</v>
      </c>
      <c r="O45">
        <v>7.71827118018233</v>
      </c>
      <c r="P45">
        <f>_xlfn.XLOOKUP($A45, DEG!$B:$B, DEG!$E:$E, "not sig")</f>
        <v>1.0019742821011301E-3</v>
      </c>
      <c r="Q45">
        <f>IFERROR(VALUE(_xlfn.XLOOKUP($A45, DEG!$B:$B, DEG!$D:$D)), "")</f>
        <v>2.78515983883756</v>
      </c>
    </row>
    <row r="46" spans="1:17" x14ac:dyDescent="0.3">
      <c r="A46" t="s">
        <v>104</v>
      </c>
      <c r="B46" t="s">
        <v>105</v>
      </c>
      <c r="C46" t="s">
        <v>16</v>
      </c>
      <c r="D46">
        <v>4.9962841747657301</v>
      </c>
      <c r="E46">
        <v>4.40104857113006</v>
      </c>
      <c r="F46">
        <v>4.4042967821627999</v>
      </c>
      <c r="G46">
        <v>3.9362678452604598</v>
      </c>
      <c r="H46">
        <v>4.0794981379364099</v>
      </c>
      <c r="I46">
        <v>3.74766344580389</v>
      </c>
      <c r="J46">
        <v>6.6096377960107597</v>
      </c>
      <c r="K46">
        <v>7.7037473422039504</v>
      </c>
      <c r="L46">
        <v>6.5472309439710603</v>
      </c>
      <c r="M46">
        <v>6.3369591468694297</v>
      </c>
      <c r="N46">
        <v>6.4632334471984398</v>
      </c>
      <c r="O46">
        <v>7.8142601036271699</v>
      </c>
      <c r="P46" t="str">
        <f>_xlfn.XLOOKUP($A46, DEG!$B:$B, DEG!$E:$E, "not sig")</f>
        <v>1.09341664899741e-17</v>
      </c>
      <c r="Q46">
        <f>IFERROR(VALUE(_xlfn.XLOOKUP($A46, DEG!$B:$B, DEG!$D:$D)), "")</f>
        <v>3.1679378080354499</v>
      </c>
    </row>
    <row r="47" spans="1:17" x14ac:dyDescent="0.3">
      <c r="A47" t="s">
        <v>106</v>
      </c>
      <c r="B47" t="s">
        <v>107</v>
      </c>
      <c r="C47" t="s">
        <v>16</v>
      </c>
      <c r="D47">
        <v>3.73399370001566</v>
      </c>
      <c r="E47">
        <v>3.1527618065068701</v>
      </c>
      <c r="F47">
        <v>3.36844261027258</v>
      </c>
      <c r="G47">
        <v>2</v>
      </c>
      <c r="H47">
        <v>3.55383279124985</v>
      </c>
      <c r="I47">
        <v>2.2802158844896701</v>
      </c>
      <c r="J47">
        <v>5.2863580327640696</v>
      </c>
      <c r="K47">
        <v>5.4429872819842702</v>
      </c>
      <c r="L47">
        <v>4.0975750303464</v>
      </c>
      <c r="M47">
        <v>4.2517731633252804</v>
      </c>
      <c r="N47">
        <v>4.2210324989968298</v>
      </c>
      <c r="O47">
        <v>6.4368733973820804</v>
      </c>
      <c r="P47" t="str">
        <f>_xlfn.XLOOKUP($A47, DEG!$B:$B, DEG!$E:$E, "not sig")</f>
        <v>4.16603987976533e-05</v>
      </c>
      <c r="Q47">
        <f>IFERROR(VALUE(_xlfn.XLOOKUP($A47, DEG!$B:$B, DEG!$D:$D)), "")</f>
        <v>2.9612145157512999</v>
      </c>
    </row>
    <row r="48" spans="1:17" x14ac:dyDescent="0.3">
      <c r="A48" t="s">
        <v>108</v>
      </c>
      <c r="B48" t="s">
        <v>109</v>
      </c>
      <c r="C48" t="s">
        <v>16</v>
      </c>
      <c r="D48">
        <v>4.9962841747657301</v>
      </c>
      <c r="E48">
        <v>4.2851275983406296</v>
      </c>
      <c r="F48">
        <v>3.6011703265158799</v>
      </c>
      <c r="G48">
        <v>4.0500733041288504</v>
      </c>
      <c r="H48">
        <v>4.4639473331594299</v>
      </c>
      <c r="I48">
        <v>3.8369417153714598</v>
      </c>
      <c r="J48">
        <v>6.2968296403145096</v>
      </c>
      <c r="K48">
        <v>6.7520498526920898</v>
      </c>
      <c r="L48">
        <v>4.6785628291480998</v>
      </c>
      <c r="M48">
        <v>5.1248893374799396</v>
      </c>
      <c r="N48">
        <v>5.4202149139436502</v>
      </c>
      <c r="O48">
        <v>7.3940018139510801</v>
      </c>
      <c r="P48" t="str">
        <f>_xlfn.XLOOKUP($A48, DEG!$B:$B, DEG!$E:$E, "not sig")</f>
        <v>1.08753240539106e-05</v>
      </c>
      <c r="Q48">
        <f>IFERROR(VALUE(_xlfn.XLOOKUP($A48, DEG!$B:$B, DEG!$D:$D)), "")</f>
        <v>2.3857779987346799</v>
      </c>
    </row>
    <row r="49" spans="1:17" x14ac:dyDescent="0.3">
      <c r="A49" t="s">
        <v>110</v>
      </c>
      <c r="B49" t="s">
        <v>111</v>
      </c>
      <c r="C49" t="s">
        <v>16</v>
      </c>
      <c r="D49">
        <v>2</v>
      </c>
      <c r="E49">
        <v>3.9465734675475699</v>
      </c>
      <c r="F49">
        <v>3.6011703265158799</v>
      </c>
      <c r="G49">
        <v>3.52845233094834</v>
      </c>
      <c r="H49">
        <v>4.6730293078832403</v>
      </c>
      <c r="I49">
        <v>4.0757546989847198</v>
      </c>
      <c r="J49">
        <v>6.5167183063892198</v>
      </c>
      <c r="K49">
        <v>6.8521629236567199</v>
      </c>
      <c r="L49">
        <v>4.3908240981926498</v>
      </c>
      <c r="M49">
        <v>4.4213675623287099</v>
      </c>
      <c r="N49">
        <v>4.7781311201480499</v>
      </c>
      <c r="O49">
        <v>7.33289230097001</v>
      </c>
      <c r="P49">
        <f>_xlfn.XLOOKUP($A49, DEG!$B:$B, DEG!$E:$E, "not sig")</f>
        <v>2.5474058279146899E-3</v>
      </c>
      <c r="Q49">
        <f>IFERROR(VALUE(_xlfn.XLOOKUP($A49, DEG!$B:$B, DEG!$D:$D)), "")</f>
        <v>2.6140610901983199</v>
      </c>
    </row>
    <row r="50" spans="1:17" x14ac:dyDescent="0.3">
      <c r="A50" t="s">
        <v>112</v>
      </c>
      <c r="B50" t="s">
        <v>113</v>
      </c>
      <c r="C50" t="s">
        <v>19</v>
      </c>
      <c r="D50">
        <v>2</v>
      </c>
      <c r="E50">
        <v>2.26771380353851</v>
      </c>
      <c r="F50">
        <v>2.5380178840706802</v>
      </c>
      <c r="G50">
        <v>2.3941047195857399</v>
      </c>
      <c r="H50">
        <v>2.2810830930747699</v>
      </c>
      <c r="I50">
        <v>2.7164464244056599</v>
      </c>
      <c r="J50">
        <v>2.4654163157481799</v>
      </c>
      <c r="K50">
        <v>2.25536044237219</v>
      </c>
      <c r="L50">
        <v>2.4707917980286198</v>
      </c>
      <c r="M50">
        <v>2.48137274935242</v>
      </c>
      <c r="N50">
        <v>3.06948285544641</v>
      </c>
      <c r="O50">
        <v>3.3839211483084699</v>
      </c>
      <c r="P50" t="str">
        <f>_xlfn.XLOOKUP($A50, DEG!$B:$B, DEG!$E:$E, "not sig")</f>
        <v>not sig</v>
      </c>
      <c r="Q50" t="str">
        <f>IFERROR(VALUE(_xlfn.XLOOKUP($A50, DEG!$B:$B, DEG!$D:$D)), "")</f>
        <v/>
      </c>
    </row>
    <row r="51" spans="1:17" x14ac:dyDescent="0.3">
      <c r="A51" t="s">
        <v>114</v>
      </c>
      <c r="B51" t="s">
        <v>115</v>
      </c>
      <c r="C51" t="s">
        <v>19</v>
      </c>
      <c r="D51">
        <v>2</v>
      </c>
      <c r="E51">
        <v>2.4934393836814999</v>
      </c>
      <c r="F51">
        <v>2</v>
      </c>
      <c r="G51">
        <v>2.9578262391703598</v>
      </c>
      <c r="H51">
        <v>2.2810830930747699</v>
      </c>
      <c r="I51">
        <v>3.0509425002157999</v>
      </c>
      <c r="J51">
        <v>2.6517507585367501</v>
      </c>
      <c r="K51">
        <v>3.7327498327320399</v>
      </c>
      <c r="L51">
        <v>2</v>
      </c>
      <c r="M51">
        <v>2.2606709117976398</v>
      </c>
      <c r="N51">
        <v>3.3015337576036599</v>
      </c>
      <c r="O51">
        <v>3.3839211483084699</v>
      </c>
      <c r="P51" t="str">
        <f>_xlfn.XLOOKUP($A51, DEG!$B:$B, DEG!$E:$E, "not sig")</f>
        <v>not sig</v>
      </c>
      <c r="Q51" t="str">
        <f>IFERROR(VALUE(_xlfn.XLOOKUP($A51, DEG!$B:$B, DEG!$D:$D)), "")</f>
        <v/>
      </c>
    </row>
    <row r="52" spans="1:17" x14ac:dyDescent="0.3">
      <c r="A52" t="s">
        <v>116</v>
      </c>
      <c r="B52" t="s">
        <v>117</v>
      </c>
      <c r="C52" t="s">
        <v>19</v>
      </c>
      <c r="D52">
        <v>4.9962841747657301</v>
      </c>
      <c r="E52">
        <v>4.7893239142956903</v>
      </c>
      <c r="F52">
        <v>5.1553582146841102</v>
      </c>
      <c r="G52">
        <v>4.6645190637059004</v>
      </c>
      <c r="H52">
        <v>4.72088609632711</v>
      </c>
      <c r="I52">
        <v>3.8369417153714598</v>
      </c>
      <c r="J52">
        <v>4.9378199157455596</v>
      </c>
      <c r="K52">
        <v>5.2799951658007096</v>
      </c>
      <c r="L52">
        <v>4.7629967770418604</v>
      </c>
      <c r="M52">
        <v>4.66606670055124</v>
      </c>
      <c r="N52">
        <v>5.1495650610737904</v>
      </c>
      <c r="O52">
        <v>5.1989629586136301</v>
      </c>
      <c r="P52" t="str">
        <f>_xlfn.XLOOKUP($A52, DEG!$B:$B, DEG!$E:$E, "not sig")</f>
        <v>not sig</v>
      </c>
      <c r="Q52" t="str">
        <f>IFERROR(VALUE(_xlfn.XLOOKUP($A52, DEG!$B:$B, DEG!$D:$D)), "")</f>
        <v/>
      </c>
    </row>
    <row r="53" spans="1:17" x14ac:dyDescent="0.3">
      <c r="A53" t="s">
        <v>118</v>
      </c>
      <c r="B53" t="s">
        <v>119</v>
      </c>
      <c r="C53" t="s">
        <v>19</v>
      </c>
      <c r="D53">
        <v>2</v>
      </c>
      <c r="E53">
        <v>2</v>
      </c>
      <c r="F53">
        <v>2</v>
      </c>
      <c r="G53">
        <v>2</v>
      </c>
      <c r="H53">
        <v>2.2810830930747699</v>
      </c>
      <c r="I53">
        <v>2</v>
      </c>
      <c r="J53">
        <v>2.2513953633290602</v>
      </c>
      <c r="K53">
        <v>2</v>
      </c>
      <c r="L53">
        <v>2.2545153577444799</v>
      </c>
      <c r="M53">
        <v>2</v>
      </c>
      <c r="N53">
        <v>2.4501971893972798</v>
      </c>
      <c r="O53">
        <v>2.4879409151044301</v>
      </c>
      <c r="P53" t="str">
        <f>_xlfn.XLOOKUP($A53, DEG!$B:$B, DEG!$E:$E, "not sig")</f>
        <v>not sig</v>
      </c>
      <c r="Q53" t="str">
        <f>IFERROR(VALUE(_xlfn.XLOOKUP($A53, DEG!$B:$B, DEG!$D:$D)), "")</f>
        <v/>
      </c>
    </row>
    <row r="54" spans="1:17" x14ac:dyDescent="0.3">
      <c r="A54" t="s">
        <v>120</v>
      </c>
      <c r="B54" t="s">
        <v>121</v>
      </c>
      <c r="C54" t="s">
        <v>19</v>
      </c>
      <c r="D54">
        <v>4.4990033583788396</v>
      </c>
      <c r="E54">
        <v>2.4934393836814999</v>
      </c>
      <c r="F54">
        <v>3.36844261027258</v>
      </c>
      <c r="G54">
        <v>4.0500733041288504</v>
      </c>
      <c r="H54">
        <v>2.7183684870970901</v>
      </c>
      <c r="I54">
        <v>2.8933671497941602</v>
      </c>
      <c r="J54">
        <v>2.9647973310120599</v>
      </c>
      <c r="K54">
        <v>3.4555996177004702</v>
      </c>
      <c r="L54">
        <v>2.9742904403188701</v>
      </c>
      <c r="M54">
        <v>3.2547451810337802</v>
      </c>
      <c r="N54">
        <v>2.9377718291955301</v>
      </c>
      <c r="O54">
        <v>3.3077898715169498</v>
      </c>
      <c r="P54" t="str">
        <f>_xlfn.XLOOKUP($A54, DEG!$B:$B, DEG!$E:$E, "not sig")</f>
        <v>not sig</v>
      </c>
      <c r="Q54" t="str">
        <f>IFERROR(VALUE(_xlfn.XLOOKUP($A54, DEG!$B:$B, DEG!$D:$D)), "")</f>
        <v/>
      </c>
    </row>
    <row r="55" spans="1:17" x14ac:dyDescent="0.3">
      <c r="A55" t="s">
        <v>122</v>
      </c>
      <c r="B55" t="s">
        <v>123</v>
      </c>
      <c r="C55" t="s">
        <v>19</v>
      </c>
      <c r="D55">
        <v>7.0691278844258401</v>
      </c>
      <c r="E55">
        <v>7.6653712226781403</v>
      </c>
      <c r="F55">
        <v>7.7456470728560101</v>
      </c>
      <c r="G55">
        <v>7.2973196590008698</v>
      </c>
      <c r="H55">
        <v>7.6451351393143696</v>
      </c>
      <c r="I55">
        <v>7.5375395101337999</v>
      </c>
      <c r="J55">
        <v>7.6742379822574902</v>
      </c>
      <c r="K55">
        <v>7.5631125894046898</v>
      </c>
      <c r="L55">
        <v>7.8558852231132104</v>
      </c>
      <c r="M55">
        <v>7.3646161748457404</v>
      </c>
      <c r="N55">
        <v>7.30877392349998</v>
      </c>
      <c r="O55">
        <v>7.2740895401739101</v>
      </c>
      <c r="P55" t="str">
        <f>_xlfn.XLOOKUP($A55, DEG!$B:$B, DEG!$E:$E, "not sig")</f>
        <v>not sig</v>
      </c>
      <c r="Q55" t="str">
        <f>IFERROR(VALUE(_xlfn.XLOOKUP($A55, DEG!$B:$B, DEG!$D:$D)), "")</f>
        <v/>
      </c>
    </row>
    <row r="56" spans="1:17" x14ac:dyDescent="0.3">
      <c r="A56" t="s">
        <v>124</v>
      </c>
      <c r="B56" t="s">
        <v>125</v>
      </c>
      <c r="C56" t="s">
        <v>19</v>
      </c>
      <c r="D56">
        <v>2</v>
      </c>
      <c r="E56">
        <v>4.7893239142956903</v>
      </c>
      <c r="F56">
        <v>4.4646062687685797</v>
      </c>
      <c r="G56">
        <v>3.17409192153846</v>
      </c>
      <c r="H56">
        <v>4.0041399443663197</v>
      </c>
      <c r="I56">
        <v>4.4025944336339</v>
      </c>
      <c r="J56">
        <v>4.4773117424545097</v>
      </c>
      <c r="K56">
        <v>4.9592484837584099</v>
      </c>
      <c r="L56">
        <v>3.8107121438176299</v>
      </c>
      <c r="M56">
        <v>3.66829743676977</v>
      </c>
      <c r="N56">
        <v>3.9744617109494702</v>
      </c>
      <c r="O56">
        <v>4.1222359603665204</v>
      </c>
      <c r="P56" t="str">
        <f>_xlfn.XLOOKUP($A56, DEG!$B:$B, DEG!$E:$E, "not sig")</f>
        <v>not sig</v>
      </c>
      <c r="Q56" t="str">
        <f>IFERROR(VALUE(_xlfn.XLOOKUP($A56, DEG!$B:$B, DEG!$D:$D)), "")</f>
        <v/>
      </c>
    </row>
    <row r="57" spans="1:17" x14ac:dyDescent="0.3">
      <c r="A57" t="s">
        <v>126</v>
      </c>
      <c r="B57" t="s">
        <v>127</v>
      </c>
      <c r="C57" t="s">
        <v>19</v>
      </c>
      <c r="D57">
        <v>2</v>
      </c>
      <c r="E57">
        <v>2.68857928676981</v>
      </c>
      <c r="F57">
        <v>2.5380178840706802</v>
      </c>
      <c r="G57">
        <v>2.3941047195857399</v>
      </c>
      <c r="H57">
        <v>2.51623057644212</v>
      </c>
      <c r="I57">
        <v>3.0509425002157999</v>
      </c>
      <c r="J57">
        <v>2</v>
      </c>
      <c r="K57">
        <v>2</v>
      </c>
      <c r="L57">
        <v>2</v>
      </c>
      <c r="M57">
        <v>2.2606709117976398</v>
      </c>
      <c r="N57">
        <v>2.2425884716395901</v>
      </c>
      <c r="O57">
        <v>2.34288982832796</v>
      </c>
      <c r="P57" t="str">
        <f>_xlfn.XLOOKUP($A57, DEG!$B:$B, DEG!$E:$E, "not sig")</f>
        <v>not sig</v>
      </c>
      <c r="Q57" t="str">
        <f>IFERROR(VALUE(_xlfn.XLOOKUP($A57, DEG!$B:$B, DEG!$D:$D)), "")</f>
        <v/>
      </c>
    </row>
    <row r="58" spans="1:17" x14ac:dyDescent="0.3">
      <c r="A58" t="s">
        <v>128</v>
      </c>
      <c r="B58" t="s">
        <v>129</v>
      </c>
      <c r="C58" t="s">
        <v>16</v>
      </c>
      <c r="D58">
        <v>3.73399370001566</v>
      </c>
      <c r="E58">
        <v>2.8604417294629698</v>
      </c>
      <c r="F58">
        <v>3.2362959617398999</v>
      </c>
      <c r="G58">
        <v>3.3621248098817702</v>
      </c>
      <c r="H58">
        <v>3.9246274745732599</v>
      </c>
      <c r="I58">
        <v>2.5147567090274201</v>
      </c>
      <c r="J58">
        <v>4.7868250337989302</v>
      </c>
      <c r="K58">
        <v>5.0962151215986102</v>
      </c>
      <c r="L58">
        <v>3.4522867349243</v>
      </c>
      <c r="M58">
        <v>3.98933365103438</v>
      </c>
      <c r="N58">
        <v>3.5013804976520699</v>
      </c>
      <c r="O58">
        <v>4.6082406377350997</v>
      </c>
      <c r="P58">
        <f>_xlfn.XLOOKUP($A58, DEG!$B:$B, DEG!$E:$E, "not sig")</f>
        <v>2.6339954982174899E-2</v>
      </c>
      <c r="Q58">
        <f>IFERROR(VALUE(_xlfn.XLOOKUP($A58, DEG!$B:$B, DEG!$D:$D)), "")</f>
        <v>1.55636003007533</v>
      </c>
    </row>
    <row r="59" spans="1:17" x14ac:dyDescent="0.3">
      <c r="A59" t="s">
        <v>130</v>
      </c>
      <c r="B59" t="s">
        <v>131</v>
      </c>
      <c r="C59" t="s">
        <v>19</v>
      </c>
      <c r="D59">
        <v>2</v>
      </c>
      <c r="E59">
        <v>2</v>
      </c>
      <c r="F59">
        <v>2</v>
      </c>
      <c r="G59">
        <v>2</v>
      </c>
      <c r="H59">
        <v>2.51623057644212</v>
      </c>
      <c r="I59">
        <v>2.2802158844896701</v>
      </c>
      <c r="J59">
        <v>2.8167483325688401</v>
      </c>
      <c r="K59">
        <v>3.11223541799002</v>
      </c>
      <c r="L59">
        <v>3.1094338523667</v>
      </c>
      <c r="M59">
        <v>2.2606709117976398</v>
      </c>
      <c r="N59">
        <v>2.2425884716395901</v>
      </c>
      <c r="O59">
        <v>2.6197314099867599</v>
      </c>
      <c r="P59" t="str">
        <f>_xlfn.XLOOKUP($A59, DEG!$B:$B, DEG!$E:$E, "not sig")</f>
        <v>not sig</v>
      </c>
      <c r="Q59" t="str">
        <f>IFERROR(VALUE(_xlfn.XLOOKUP($A59, DEG!$B:$B, DEG!$D:$D)), "")</f>
        <v/>
      </c>
    </row>
    <row r="60" spans="1:17" x14ac:dyDescent="0.3">
      <c r="A60" t="s">
        <v>132</v>
      </c>
      <c r="B60" t="s">
        <v>133</v>
      </c>
      <c r="C60" t="s">
        <v>19</v>
      </c>
      <c r="D60">
        <v>2</v>
      </c>
      <c r="E60">
        <v>4.2234761750337801</v>
      </c>
      <c r="F60">
        <v>4.4042967821627999</v>
      </c>
      <c r="G60">
        <v>2.9578262391703598</v>
      </c>
      <c r="H60">
        <v>4.2844910201296997</v>
      </c>
      <c r="I60">
        <v>3.9210156740361501</v>
      </c>
      <c r="J60">
        <v>4.2068930489114198</v>
      </c>
      <c r="K60">
        <v>4.6829664655754</v>
      </c>
      <c r="L60">
        <v>4.1611875489761703</v>
      </c>
      <c r="M60">
        <v>3.66829743676977</v>
      </c>
      <c r="N60">
        <v>4.2766107984642296</v>
      </c>
      <c r="O60">
        <v>4.3669699077419599</v>
      </c>
      <c r="P60" t="str">
        <f>_xlfn.XLOOKUP($A60, DEG!$B:$B, DEG!$E:$E, "not sig")</f>
        <v>not sig</v>
      </c>
      <c r="Q60" t="str">
        <f>IFERROR(VALUE(_xlfn.XLOOKUP($A60, DEG!$B:$B, DEG!$D:$D)), "")</f>
        <v/>
      </c>
    </row>
    <row r="61" spans="1:17" x14ac:dyDescent="0.3">
      <c r="A61" t="s">
        <v>134</v>
      </c>
      <c r="B61" t="s">
        <v>135</v>
      </c>
      <c r="C61" t="s">
        <v>19</v>
      </c>
      <c r="D61">
        <v>2</v>
      </c>
      <c r="E61">
        <v>2.4934393836814999</v>
      </c>
      <c r="F61">
        <v>2</v>
      </c>
      <c r="G61">
        <v>2</v>
      </c>
      <c r="H61">
        <v>2.8956338597551099</v>
      </c>
      <c r="I61">
        <v>2.5147567090274201</v>
      </c>
      <c r="J61">
        <v>2.2513953633290602</v>
      </c>
      <c r="K61">
        <v>2</v>
      </c>
      <c r="L61">
        <v>2.6588328150385201</v>
      </c>
      <c r="M61">
        <v>2.48137274935242</v>
      </c>
      <c r="N61">
        <v>2.9377718291955301</v>
      </c>
      <c r="O61">
        <v>2.34288982832796</v>
      </c>
      <c r="P61" t="str">
        <f>_xlfn.XLOOKUP($A61, DEG!$B:$B, DEG!$E:$E, "not sig")</f>
        <v>not sig</v>
      </c>
      <c r="Q61" t="str">
        <f>IFERROR(VALUE(_xlfn.XLOOKUP($A61, DEG!$B:$B, DEG!$D:$D)), "")</f>
        <v/>
      </c>
    </row>
    <row r="62" spans="1:17" x14ac:dyDescent="0.3">
      <c r="A62" t="s">
        <v>136</v>
      </c>
      <c r="B62" t="s">
        <v>137</v>
      </c>
      <c r="C62" t="s">
        <v>19</v>
      </c>
      <c r="D62">
        <v>2</v>
      </c>
      <c r="E62">
        <v>2.4934393836814999</v>
      </c>
      <c r="F62">
        <v>2.9289975304140499</v>
      </c>
      <c r="G62">
        <v>3.17409192153846</v>
      </c>
      <c r="H62">
        <v>2.8956338597551099</v>
      </c>
      <c r="I62">
        <v>2.7164464244056599</v>
      </c>
      <c r="J62">
        <v>2.2513953633290602</v>
      </c>
      <c r="K62">
        <v>2.8274415916521201</v>
      </c>
      <c r="L62">
        <v>2.4707917980286198</v>
      </c>
      <c r="M62">
        <v>2.2606709117976398</v>
      </c>
      <c r="N62">
        <v>2.4501971893972798</v>
      </c>
      <c r="O62">
        <v>2.7404840918382498</v>
      </c>
      <c r="P62" t="str">
        <f>_xlfn.XLOOKUP($A62, DEG!$B:$B, DEG!$E:$E, "not sig")</f>
        <v>not sig</v>
      </c>
      <c r="Q62" t="str">
        <f>IFERROR(VALUE(_xlfn.XLOOKUP($A62, DEG!$B:$B, DEG!$D:$D)), "")</f>
        <v/>
      </c>
    </row>
    <row r="63" spans="1:17" x14ac:dyDescent="0.3">
      <c r="A63" t="s">
        <v>138</v>
      </c>
      <c r="B63" t="s">
        <v>139</v>
      </c>
      <c r="C63" t="s">
        <v>19</v>
      </c>
      <c r="D63">
        <v>8.7237131436910609</v>
      </c>
      <c r="E63">
        <v>8.2212462527914596</v>
      </c>
      <c r="F63">
        <v>7.9806363128836999</v>
      </c>
      <c r="G63">
        <v>7.9006676192871099</v>
      </c>
      <c r="H63">
        <v>8.0005923984329002</v>
      </c>
      <c r="I63">
        <v>7.99576355174261</v>
      </c>
      <c r="J63">
        <v>7.8320092402904802</v>
      </c>
      <c r="K63">
        <v>7.6657315214098398</v>
      </c>
      <c r="L63">
        <v>7.6102235691340097</v>
      </c>
      <c r="M63">
        <v>7.8439883010712901</v>
      </c>
      <c r="N63">
        <v>7.7866380029709301</v>
      </c>
      <c r="O63">
        <v>7.6848011780576098</v>
      </c>
      <c r="P63" t="str">
        <f>_xlfn.XLOOKUP($A63, DEG!$B:$B, DEG!$E:$E, "not sig")</f>
        <v>not sig</v>
      </c>
      <c r="Q63" t="str">
        <f>IFERROR(VALUE(_xlfn.XLOOKUP($A63, DEG!$B:$B, DEG!$D:$D)), "")</f>
        <v/>
      </c>
    </row>
    <row r="64" spans="1:17" x14ac:dyDescent="0.3">
      <c r="A64" t="s">
        <v>140</v>
      </c>
      <c r="B64" t="s">
        <v>141</v>
      </c>
      <c r="C64" t="s">
        <v>19</v>
      </c>
      <c r="D64">
        <v>4.4990033583788396</v>
      </c>
      <c r="E64">
        <v>2.68857928676981</v>
      </c>
      <c r="F64">
        <v>2</v>
      </c>
      <c r="G64">
        <v>2</v>
      </c>
      <c r="H64">
        <v>3.05348247799206</v>
      </c>
      <c r="I64">
        <v>2.5147567090274201</v>
      </c>
      <c r="J64">
        <v>3.2218801999164501</v>
      </c>
      <c r="K64">
        <v>3.8917593736888199</v>
      </c>
      <c r="L64">
        <v>3.8879498634524099</v>
      </c>
      <c r="M64">
        <v>2.6727485881133801</v>
      </c>
      <c r="N64">
        <v>3.06948285544641</v>
      </c>
      <c r="O64">
        <v>3.5908219052874601</v>
      </c>
      <c r="P64" t="str">
        <f>_xlfn.XLOOKUP($A64, DEG!$B:$B, DEG!$E:$E, "not sig")</f>
        <v>not sig</v>
      </c>
      <c r="Q64" t="str">
        <f>IFERROR(VALUE(_xlfn.XLOOKUP($A64, DEG!$B:$B, DEG!$D:$D)), "")</f>
        <v/>
      </c>
    </row>
    <row r="65" spans="1:17" x14ac:dyDescent="0.3">
      <c r="A65" t="s">
        <v>142</v>
      </c>
      <c r="B65" t="s">
        <v>143</v>
      </c>
      <c r="C65" t="s">
        <v>19</v>
      </c>
      <c r="D65">
        <v>2</v>
      </c>
      <c r="E65">
        <v>3.3957144768096001</v>
      </c>
      <c r="F65">
        <v>4.1341624722484998</v>
      </c>
      <c r="G65">
        <v>4.3458650313075298</v>
      </c>
      <c r="H65">
        <v>3.6558407728900999</v>
      </c>
      <c r="I65">
        <v>4.1473149825167601</v>
      </c>
      <c r="J65">
        <v>3.53783210431421</v>
      </c>
      <c r="K65">
        <v>4.4975393407126001</v>
      </c>
      <c r="L65">
        <v>4.4932472686119098</v>
      </c>
      <c r="M65">
        <v>4.1905019642130297</v>
      </c>
      <c r="N65">
        <v>5.2362202145498502</v>
      </c>
      <c r="O65">
        <v>4.5433230855936504</v>
      </c>
      <c r="P65" t="str">
        <f>_xlfn.XLOOKUP($A65, DEG!$B:$B, DEG!$E:$E, "not sig")</f>
        <v>not sig</v>
      </c>
      <c r="Q65" t="str">
        <f>IFERROR(VALUE(_xlfn.XLOOKUP($A65, DEG!$B:$B, DEG!$D:$D)), "")</f>
        <v/>
      </c>
    </row>
    <row r="66" spans="1:17" x14ac:dyDescent="0.3">
      <c r="A66" t="s">
        <v>144</v>
      </c>
      <c r="B66" t="s">
        <v>145</v>
      </c>
      <c r="C66" t="s">
        <v>19</v>
      </c>
      <c r="D66">
        <v>2</v>
      </c>
      <c r="E66">
        <v>2.26771380353851</v>
      </c>
      <c r="F66">
        <v>2.5380178840706802</v>
      </c>
      <c r="G66">
        <v>2.3941047195857399</v>
      </c>
      <c r="H66">
        <v>2</v>
      </c>
      <c r="I66">
        <v>2.7164464244056599</v>
      </c>
      <c r="J66">
        <v>2.8167483325688401</v>
      </c>
      <c r="K66">
        <v>2.66074772660986</v>
      </c>
      <c r="L66">
        <v>3.3468034549180001</v>
      </c>
      <c r="M66">
        <v>2.48137274935242</v>
      </c>
      <c r="N66">
        <v>2.9377718291955301</v>
      </c>
      <c r="O66">
        <v>2.4879409151044301</v>
      </c>
      <c r="P66" t="str">
        <f>_xlfn.XLOOKUP($A66, DEG!$B:$B, DEG!$E:$E, "not sig")</f>
        <v>not sig</v>
      </c>
      <c r="Q66" t="str">
        <f>IFERROR(VALUE(_xlfn.XLOOKUP($A66, DEG!$B:$B, DEG!$D:$D)), "")</f>
        <v/>
      </c>
    </row>
    <row r="67" spans="1:17" x14ac:dyDescent="0.3">
      <c r="A67" t="s">
        <v>146</v>
      </c>
      <c r="B67" t="s">
        <v>147</v>
      </c>
      <c r="C67" t="s">
        <v>19</v>
      </c>
      <c r="D67">
        <v>4.9962841747657301</v>
      </c>
      <c r="E67">
        <v>4.3442520572206798</v>
      </c>
      <c r="F67">
        <v>3.8921413932029698</v>
      </c>
      <c r="G67">
        <v>3.17409192153846</v>
      </c>
      <c r="H67">
        <v>3.9246274745732599</v>
      </c>
      <c r="I67">
        <v>3.0509425002157999</v>
      </c>
      <c r="J67">
        <v>5.1382693245493796</v>
      </c>
      <c r="K67">
        <v>5.5660235459515901</v>
      </c>
      <c r="L67">
        <v>4.2221132630898097</v>
      </c>
      <c r="M67">
        <v>3.98933365103438</v>
      </c>
      <c r="N67">
        <v>3.4049147908061399</v>
      </c>
      <c r="O67">
        <v>5.2405094350075698</v>
      </c>
      <c r="P67" t="str">
        <f>_xlfn.XLOOKUP($A67, DEG!$B:$B, DEG!$E:$E, "not sig")</f>
        <v>not sig</v>
      </c>
      <c r="Q67" t="str">
        <f>IFERROR(VALUE(_xlfn.XLOOKUP($A67, DEG!$B:$B, DEG!$D:$D)), "")</f>
        <v/>
      </c>
    </row>
    <row r="68" spans="1:17" x14ac:dyDescent="0.3">
      <c r="A68" t="s">
        <v>148</v>
      </c>
      <c r="B68" t="s">
        <v>149</v>
      </c>
      <c r="C68" t="s">
        <v>19</v>
      </c>
      <c r="D68">
        <v>4.4990033583788396</v>
      </c>
      <c r="E68">
        <v>3.3957144768096001</v>
      </c>
      <c r="F68">
        <v>3.70481947532619</v>
      </c>
      <c r="G68">
        <v>4.2538453320068701</v>
      </c>
      <c r="H68">
        <v>3.75110997686861</v>
      </c>
      <c r="I68">
        <v>3.5505999362738399</v>
      </c>
      <c r="J68">
        <v>3.09905760588408</v>
      </c>
      <c r="K68">
        <v>2.9768545554728698</v>
      </c>
      <c r="L68">
        <v>3.2329950210910399</v>
      </c>
      <c r="M68">
        <v>3.2547451810337802</v>
      </c>
      <c r="N68">
        <v>2.2425884716395901</v>
      </c>
      <c r="O68">
        <v>3.4562355404036098</v>
      </c>
      <c r="P68" t="str">
        <f>_xlfn.XLOOKUP($A68, DEG!$B:$B, DEG!$E:$E, "not sig")</f>
        <v>not sig</v>
      </c>
      <c r="Q68" t="str">
        <f>IFERROR(VALUE(_xlfn.XLOOKUP($A68, DEG!$B:$B, DEG!$D:$D)), "")</f>
        <v/>
      </c>
    </row>
    <row r="69" spans="1:17" x14ac:dyDescent="0.3">
      <c r="A69" t="s">
        <v>150</v>
      </c>
      <c r="B69" t="s">
        <v>151</v>
      </c>
      <c r="C69" t="s">
        <v>19</v>
      </c>
      <c r="D69">
        <v>3.73399370001566</v>
      </c>
      <c r="E69">
        <v>3.5033929027217301</v>
      </c>
      <c r="F69">
        <v>3.36844261027258</v>
      </c>
      <c r="G69">
        <v>4.6645190637059004</v>
      </c>
      <c r="H69">
        <v>3.6558407728900999</v>
      </c>
      <c r="I69">
        <v>4.2805936994141902</v>
      </c>
      <c r="J69">
        <v>3.53783210431421</v>
      </c>
      <c r="K69">
        <v>4.5932299337415099</v>
      </c>
      <c r="L69">
        <v>4.6785628291480998</v>
      </c>
      <c r="M69">
        <v>4.5731061192649198</v>
      </c>
      <c r="N69">
        <v>4.7390959375902098</v>
      </c>
      <c r="O69">
        <v>4.7004481773422997</v>
      </c>
      <c r="P69" t="str">
        <f>_xlfn.XLOOKUP($A69, DEG!$B:$B, DEG!$E:$E, "not sig")</f>
        <v>not sig</v>
      </c>
      <c r="Q69" t="str">
        <f>IFERROR(VALUE(_xlfn.XLOOKUP($A69, DEG!$B:$B, DEG!$D:$D)), "")</f>
        <v/>
      </c>
    </row>
    <row r="70" spans="1:17" x14ac:dyDescent="0.3">
      <c r="A70" t="s">
        <v>152</v>
      </c>
      <c r="B70" t="s">
        <v>153</v>
      </c>
      <c r="C70" t="s">
        <v>19</v>
      </c>
      <c r="D70">
        <v>2</v>
      </c>
      <c r="E70">
        <v>2</v>
      </c>
      <c r="F70">
        <v>2.2939450220727999</v>
      </c>
      <c r="G70">
        <v>2.9578262391703598</v>
      </c>
      <c r="H70">
        <v>2.7183684870970901</v>
      </c>
      <c r="I70">
        <v>2.2802158844896701</v>
      </c>
      <c r="J70">
        <v>2.6517507585367501</v>
      </c>
      <c r="K70">
        <v>2.25536044237219</v>
      </c>
      <c r="L70">
        <v>2.8251666944490501</v>
      </c>
      <c r="M70">
        <v>3.1297540086329998</v>
      </c>
      <c r="N70">
        <v>3.06948285544641</v>
      </c>
      <c r="O70">
        <v>2.4879409151044301</v>
      </c>
      <c r="P70" t="str">
        <f>_xlfn.XLOOKUP($A70, DEG!$B:$B, DEG!$E:$E, "not sig")</f>
        <v>not sig</v>
      </c>
      <c r="Q70" t="str">
        <f>IFERROR(VALUE(_xlfn.XLOOKUP($A70, DEG!$B:$B, DEG!$D:$D)), "")</f>
        <v/>
      </c>
    </row>
    <row r="71" spans="1:17" x14ac:dyDescent="0.3">
      <c r="A71" t="s">
        <v>154</v>
      </c>
      <c r="B71" t="s">
        <v>155</v>
      </c>
      <c r="C71" t="s">
        <v>19</v>
      </c>
      <c r="D71">
        <v>2</v>
      </c>
      <c r="E71">
        <v>2.26771380353851</v>
      </c>
      <c r="F71">
        <v>2.2939450220727999</v>
      </c>
      <c r="G71">
        <v>2</v>
      </c>
      <c r="H71">
        <v>2.7183684870970901</v>
      </c>
      <c r="I71">
        <v>2.7164464244056599</v>
      </c>
      <c r="J71">
        <v>2.6517507585367501</v>
      </c>
      <c r="K71">
        <v>2.8274415916521201</v>
      </c>
      <c r="L71">
        <v>2.9742904403188701</v>
      </c>
      <c r="M71">
        <v>2.9928978701018298</v>
      </c>
      <c r="N71">
        <v>3.06948285544641</v>
      </c>
      <c r="O71">
        <v>2.9553357921019701</v>
      </c>
      <c r="P71" t="str">
        <f>_xlfn.XLOOKUP($A71, DEG!$B:$B, DEG!$E:$E, "not sig")</f>
        <v>not sig</v>
      </c>
      <c r="Q71" t="str">
        <f>IFERROR(VALUE(_xlfn.XLOOKUP($A71, DEG!$B:$B, DEG!$D:$D)), "")</f>
        <v/>
      </c>
    </row>
    <row r="72" spans="1:17" x14ac:dyDescent="0.3">
      <c r="A72" t="s">
        <v>156</v>
      </c>
      <c r="B72" t="s">
        <v>157</v>
      </c>
      <c r="C72" t="s">
        <v>19</v>
      </c>
      <c r="D72">
        <v>2</v>
      </c>
      <c r="E72">
        <v>2.68857928676981</v>
      </c>
      <c r="F72">
        <v>2.2939450220727999</v>
      </c>
      <c r="G72">
        <v>2.7033257903649601</v>
      </c>
      <c r="H72">
        <v>2</v>
      </c>
      <c r="I72">
        <v>3.0509425002157999</v>
      </c>
      <c r="J72">
        <v>2.6517507585367501</v>
      </c>
      <c r="K72">
        <v>2.4722463617573101</v>
      </c>
      <c r="L72">
        <v>2.2545153577444799</v>
      </c>
      <c r="M72">
        <v>2.9928978701018298</v>
      </c>
      <c r="N72">
        <v>2.4501971893972798</v>
      </c>
      <c r="O72">
        <v>3.3077898715169498</v>
      </c>
      <c r="P72" t="str">
        <f>_xlfn.XLOOKUP($A72, DEG!$B:$B, DEG!$E:$E, "not sig")</f>
        <v>not sig</v>
      </c>
      <c r="Q72" t="str">
        <f>IFERROR(VALUE(_xlfn.XLOOKUP($A72, DEG!$B:$B, DEG!$D:$D)), "")</f>
        <v/>
      </c>
    </row>
  </sheetData>
  <autoFilter ref="A1:Q72" xr:uid="{6FC806A6-BAF7-44F8-96F6-4C3863CF274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0C43E-F49D-4826-995E-DAFE07E60267}">
  <dimension ref="A1:Q15"/>
  <sheetViews>
    <sheetView workbookViewId="0">
      <selection activeCell="J31" sqref="J31"/>
    </sheetView>
  </sheetViews>
  <sheetFormatPr defaultRowHeight="14.4" x14ac:dyDescent="0.3"/>
  <cols>
    <col min="16" max="16" width="15.6640625" customWidth="1"/>
  </cols>
  <sheetData>
    <row r="1" spans="1:17" x14ac:dyDescent="0.3">
      <c r="A1" t="s">
        <v>1147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1145</v>
      </c>
      <c r="Q1" t="s">
        <v>1146</v>
      </c>
    </row>
    <row r="2" spans="1:17" x14ac:dyDescent="0.3">
      <c r="A2" t="s">
        <v>14</v>
      </c>
      <c r="B2" t="s">
        <v>15</v>
      </c>
      <c r="C2" t="s">
        <v>16</v>
      </c>
      <c r="D2">
        <v>2</v>
      </c>
      <c r="E2">
        <v>2</v>
      </c>
      <c r="F2">
        <v>2</v>
      </c>
      <c r="G2">
        <v>2</v>
      </c>
      <c r="H2">
        <v>2</v>
      </c>
      <c r="I2">
        <v>2.2802158844896701</v>
      </c>
      <c r="J2">
        <v>3.4400064413410498</v>
      </c>
      <c r="K2">
        <v>3.11223541799002</v>
      </c>
      <c r="L2">
        <v>2.2545153577444799</v>
      </c>
      <c r="M2">
        <v>2.48137274935242</v>
      </c>
      <c r="N2">
        <v>2.9377718291955301</v>
      </c>
      <c r="O2">
        <v>3.8273305184401201</v>
      </c>
      <c r="P2">
        <v>9.7171378856925998E-3</v>
      </c>
      <c r="Q2">
        <v>3.7448662497295802</v>
      </c>
    </row>
    <row r="3" spans="1:17" x14ac:dyDescent="0.3">
      <c r="A3" t="s">
        <v>104</v>
      </c>
      <c r="B3" t="s">
        <v>105</v>
      </c>
      <c r="C3" t="s">
        <v>16</v>
      </c>
      <c r="D3">
        <v>4.9962841747657301</v>
      </c>
      <c r="E3">
        <v>4.40104857113006</v>
      </c>
      <c r="F3">
        <v>4.4042967821627999</v>
      </c>
      <c r="G3">
        <v>3.9362678452604598</v>
      </c>
      <c r="H3">
        <v>4.0794981379364099</v>
      </c>
      <c r="I3">
        <v>3.74766344580389</v>
      </c>
      <c r="J3">
        <v>6.6096377960107597</v>
      </c>
      <c r="K3">
        <v>7.7037473422039504</v>
      </c>
      <c r="L3">
        <v>6.5472309439710603</v>
      </c>
      <c r="M3">
        <v>6.3369591468694297</v>
      </c>
      <c r="N3">
        <v>6.4632334471984398</v>
      </c>
      <c r="O3">
        <v>7.8142601036271699</v>
      </c>
      <c r="P3" t="s">
        <v>196</v>
      </c>
      <c r="Q3">
        <v>3.1679378080354499</v>
      </c>
    </row>
    <row r="4" spans="1:17" x14ac:dyDescent="0.3">
      <c r="A4" t="s">
        <v>22</v>
      </c>
      <c r="B4" t="s">
        <v>23</v>
      </c>
      <c r="C4" t="s">
        <v>16</v>
      </c>
      <c r="D4">
        <v>2</v>
      </c>
      <c r="E4">
        <v>3.1527618065068701</v>
      </c>
      <c r="F4">
        <v>2.2939450220727999</v>
      </c>
      <c r="G4">
        <v>3.3621248098817702</v>
      </c>
      <c r="H4">
        <v>3.55383279124985</v>
      </c>
      <c r="I4">
        <v>2.5147567090274201</v>
      </c>
      <c r="J4">
        <v>4.66221009661363</v>
      </c>
      <c r="K4">
        <v>5.9012668383430702</v>
      </c>
      <c r="L4">
        <v>4.1611875489761703</v>
      </c>
      <c r="M4">
        <v>4.4737405104664703</v>
      </c>
      <c r="N4">
        <v>4.3817292068201299</v>
      </c>
      <c r="O4">
        <v>6.2562469339405897</v>
      </c>
      <c r="P4" t="s">
        <v>225</v>
      </c>
      <c r="Q4">
        <v>3.0198379757418499</v>
      </c>
    </row>
    <row r="5" spans="1:17" x14ac:dyDescent="0.3">
      <c r="A5" t="s">
        <v>106</v>
      </c>
      <c r="B5" t="s">
        <v>107</v>
      </c>
      <c r="C5" t="s">
        <v>16</v>
      </c>
      <c r="D5">
        <v>3.73399370001566</v>
      </c>
      <c r="E5">
        <v>3.1527618065068701</v>
      </c>
      <c r="F5">
        <v>3.36844261027258</v>
      </c>
      <c r="G5">
        <v>2</v>
      </c>
      <c r="H5">
        <v>3.55383279124985</v>
      </c>
      <c r="I5">
        <v>2.2802158844896701</v>
      </c>
      <c r="J5">
        <v>5.2863580327640696</v>
      </c>
      <c r="K5">
        <v>5.4429872819842702</v>
      </c>
      <c r="L5">
        <v>4.0975750303464</v>
      </c>
      <c r="M5">
        <v>4.2517731633252804</v>
      </c>
      <c r="N5">
        <v>4.2210324989968298</v>
      </c>
      <c r="O5">
        <v>6.4368733973820804</v>
      </c>
      <c r="P5" t="s">
        <v>238</v>
      </c>
      <c r="Q5">
        <v>2.9612145157512999</v>
      </c>
    </row>
    <row r="6" spans="1:17" x14ac:dyDescent="0.3">
      <c r="A6" t="s">
        <v>102</v>
      </c>
      <c r="B6" t="s">
        <v>103</v>
      </c>
      <c r="C6" t="s">
        <v>16</v>
      </c>
      <c r="D6">
        <v>5.3653979596127099</v>
      </c>
      <c r="E6">
        <v>4.0209387893491302</v>
      </c>
      <c r="F6">
        <v>3.70481947532619</v>
      </c>
      <c r="G6">
        <v>3.6775709672577701</v>
      </c>
      <c r="H6">
        <v>3.75110997686861</v>
      </c>
      <c r="I6">
        <v>3.3222951439366302</v>
      </c>
      <c r="J6">
        <v>5.3947738421384601</v>
      </c>
      <c r="K6">
        <v>7.1795657455805797</v>
      </c>
      <c r="L6">
        <v>4.4429444256511497</v>
      </c>
      <c r="M6">
        <v>4.9510681654998896</v>
      </c>
      <c r="N6">
        <v>5.6480224333109499</v>
      </c>
      <c r="O6">
        <v>7.71827118018233</v>
      </c>
      <c r="P6">
        <v>1.0019742821011301E-3</v>
      </c>
      <c r="Q6">
        <v>2.78515983883756</v>
      </c>
    </row>
    <row r="7" spans="1:17" x14ac:dyDescent="0.3">
      <c r="A7" t="s">
        <v>30</v>
      </c>
      <c r="B7" t="s">
        <v>31</v>
      </c>
      <c r="C7" t="s">
        <v>16</v>
      </c>
      <c r="D7">
        <v>2</v>
      </c>
      <c r="E7">
        <v>2.26771380353851</v>
      </c>
      <c r="F7">
        <v>2.2939450220727999</v>
      </c>
      <c r="G7">
        <v>2.3941047195857399</v>
      </c>
      <c r="H7">
        <v>2.8956338597551099</v>
      </c>
      <c r="I7">
        <v>2</v>
      </c>
      <c r="J7">
        <v>3.79686858555444</v>
      </c>
      <c r="K7">
        <v>4.2262139598532604</v>
      </c>
      <c r="L7">
        <v>2.4707917980286198</v>
      </c>
      <c r="M7">
        <v>2.9928978701018298</v>
      </c>
      <c r="N7">
        <v>2.4501971893972798</v>
      </c>
      <c r="O7">
        <v>4.4401176762866896</v>
      </c>
      <c r="P7">
        <v>2.3666898312940901E-2</v>
      </c>
      <c r="Q7">
        <v>2.6512925466558599</v>
      </c>
    </row>
    <row r="8" spans="1:17" x14ac:dyDescent="0.3">
      <c r="A8" t="s">
        <v>110</v>
      </c>
      <c r="B8" t="s">
        <v>111</v>
      </c>
      <c r="C8" t="s">
        <v>16</v>
      </c>
      <c r="D8">
        <v>2</v>
      </c>
      <c r="E8">
        <v>3.9465734675475699</v>
      </c>
      <c r="F8">
        <v>3.6011703265158799</v>
      </c>
      <c r="G8">
        <v>3.52845233094834</v>
      </c>
      <c r="H8">
        <v>4.6730293078832403</v>
      </c>
      <c r="I8">
        <v>4.0757546989847198</v>
      </c>
      <c r="J8">
        <v>6.5167183063892198</v>
      </c>
      <c r="K8">
        <v>6.8521629236567199</v>
      </c>
      <c r="L8">
        <v>4.3908240981926498</v>
      </c>
      <c r="M8">
        <v>4.4213675623287099</v>
      </c>
      <c r="N8">
        <v>4.7781311201480499</v>
      </c>
      <c r="O8">
        <v>7.33289230097001</v>
      </c>
      <c r="P8">
        <v>2.5474058279146899E-3</v>
      </c>
      <c r="Q8">
        <v>2.6140610901983199</v>
      </c>
    </row>
    <row r="9" spans="1:17" x14ac:dyDescent="0.3">
      <c r="A9" t="s">
        <v>108</v>
      </c>
      <c r="B9" t="s">
        <v>109</v>
      </c>
      <c r="C9" t="s">
        <v>16</v>
      </c>
      <c r="D9">
        <v>4.9962841747657301</v>
      </c>
      <c r="E9">
        <v>4.2851275983406296</v>
      </c>
      <c r="F9">
        <v>3.6011703265158799</v>
      </c>
      <c r="G9">
        <v>4.0500733041288504</v>
      </c>
      <c r="H9">
        <v>4.4639473331594299</v>
      </c>
      <c r="I9">
        <v>3.8369417153714598</v>
      </c>
      <c r="J9">
        <v>6.2968296403145096</v>
      </c>
      <c r="K9">
        <v>6.7520498526920898</v>
      </c>
      <c r="L9">
        <v>4.6785628291480998</v>
      </c>
      <c r="M9">
        <v>5.1248893374799396</v>
      </c>
      <c r="N9">
        <v>5.4202149139436502</v>
      </c>
      <c r="O9">
        <v>7.3940018139510801</v>
      </c>
      <c r="P9" t="s">
        <v>371</v>
      </c>
      <c r="Q9">
        <v>2.3857779987346799</v>
      </c>
    </row>
    <row r="10" spans="1:17" x14ac:dyDescent="0.3">
      <c r="A10" t="s">
        <v>54</v>
      </c>
      <c r="B10" t="s">
        <v>55</v>
      </c>
      <c r="C10" t="s">
        <v>16</v>
      </c>
      <c r="D10">
        <v>2</v>
      </c>
      <c r="E10">
        <v>2.26771380353851</v>
      </c>
      <c r="F10">
        <v>3.4894941851175201</v>
      </c>
      <c r="G10">
        <v>2.3941047195857399</v>
      </c>
      <c r="H10">
        <v>2</v>
      </c>
      <c r="I10">
        <v>2.7164464244056599</v>
      </c>
      <c r="J10">
        <v>4.2068930489114198</v>
      </c>
      <c r="K10">
        <v>4.3950480713483602</v>
      </c>
      <c r="L10">
        <v>3.1094338523667</v>
      </c>
      <c r="M10">
        <v>3.3697655632761001</v>
      </c>
      <c r="N10">
        <v>2.79281701595042</v>
      </c>
      <c r="O10">
        <v>4.6703624187423696</v>
      </c>
      <c r="P10">
        <v>2.27506777407873E-2</v>
      </c>
      <c r="Q10">
        <v>2.2636105786302601</v>
      </c>
    </row>
    <row r="11" spans="1:17" x14ac:dyDescent="0.3">
      <c r="A11" t="s">
        <v>128</v>
      </c>
      <c r="B11" t="s">
        <v>129</v>
      </c>
      <c r="C11" t="s">
        <v>16</v>
      </c>
      <c r="D11">
        <v>3.73399370001566</v>
      </c>
      <c r="E11">
        <v>2.8604417294629698</v>
      </c>
      <c r="F11">
        <v>3.2362959617398999</v>
      </c>
      <c r="G11">
        <v>3.3621248098817702</v>
      </c>
      <c r="H11">
        <v>3.9246274745732599</v>
      </c>
      <c r="I11">
        <v>2.5147567090274201</v>
      </c>
      <c r="J11">
        <v>4.7868250337989302</v>
      </c>
      <c r="K11">
        <v>5.0962151215986102</v>
      </c>
      <c r="L11">
        <v>3.4522867349243</v>
      </c>
      <c r="M11">
        <v>3.98933365103438</v>
      </c>
      <c r="N11">
        <v>3.5013804976520699</v>
      </c>
      <c r="O11">
        <v>4.6082406377350997</v>
      </c>
      <c r="P11">
        <v>2.6339954982174899E-2</v>
      </c>
      <c r="Q11">
        <v>1.55636003007533</v>
      </c>
    </row>
    <row r="12" spans="1:17" x14ac:dyDescent="0.3">
      <c r="A12" t="s">
        <v>100</v>
      </c>
      <c r="B12" t="s">
        <v>101</v>
      </c>
      <c r="C12" t="s">
        <v>16</v>
      </c>
      <c r="D12">
        <v>3.73399370001566</v>
      </c>
      <c r="E12">
        <v>3.5033929027217301</v>
      </c>
      <c r="F12">
        <v>2.9289975304140499</v>
      </c>
      <c r="G12">
        <v>3.8127101835324901</v>
      </c>
      <c r="H12">
        <v>3.75110997686861</v>
      </c>
      <c r="I12">
        <v>3.6524937905374699</v>
      </c>
      <c r="J12">
        <v>4.9015267664567004</v>
      </c>
      <c r="K12">
        <v>5.0293566106152596</v>
      </c>
      <c r="L12">
        <v>3.96126178495475</v>
      </c>
      <c r="M12">
        <v>4.4213675623287099</v>
      </c>
      <c r="N12">
        <v>4.3301271900609803</v>
      </c>
      <c r="O12">
        <v>5.1777322644231401</v>
      </c>
      <c r="P12">
        <v>1.1910634135632299E-3</v>
      </c>
      <c r="Q12">
        <v>1.5053525212013199</v>
      </c>
    </row>
    <row r="13" spans="1:17" x14ac:dyDescent="0.3">
      <c r="A13" t="s">
        <v>32</v>
      </c>
      <c r="B13" t="s">
        <v>33</v>
      </c>
      <c r="C13" t="s">
        <v>16</v>
      </c>
      <c r="D13">
        <v>4.9962841747657301</v>
      </c>
      <c r="E13">
        <v>5.1289770078921002</v>
      </c>
      <c r="F13">
        <v>4.7815048415363801</v>
      </c>
      <c r="G13">
        <v>4.9838225483276597</v>
      </c>
      <c r="H13">
        <v>5.6070997354692498</v>
      </c>
      <c r="I13">
        <v>5.0880025869563896</v>
      </c>
      <c r="J13">
        <v>6.8284047364918896</v>
      </c>
      <c r="K13">
        <v>7.2025068870016904</v>
      </c>
      <c r="L13">
        <v>5.8585226948748597</v>
      </c>
      <c r="M13">
        <v>5.4464925369832997</v>
      </c>
      <c r="N13">
        <v>4.9244962718979899</v>
      </c>
      <c r="O13">
        <v>7.0174971153128496</v>
      </c>
      <c r="P13">
        <v>3.2548383015383801E-3</v>
      </c>
      <c r="Q13">
        <v>1.41657212645796</v>
      </c>
    </row>
    <row r="14" spans="1:17" x14ac:dyDescent="0.3">
      <c r="A14" t="s">
        <v>28</v>
      </c>
      <c r="B14" t="s">
        <v>29</v>
      </c>
      <c r="C14" t="s">
        <v>16</v>
      </c>
      <c r="D14">
        <v>7.2563910724523604</v>
      </c>
      <c r="E14">
        <v>5.8938572847229604</v>
      </c>
      <c r="F14">
        <v>5.9717025579798104</v>
      </c>
      <c r="G14">
        <v>5.9495202265169498</v>
      </c>
      <c r="H14">
        <v>5.7055333495467604</v>
      </c>
      <c r="I14">
        <v>5.4411279583029399</v>
      </c>
      <c r="J14">
        <v>7.36336416438456</v>
      </c>
      <c r="K14">
        <v>7.6875773521539603</v>
      </c>
      <c r="L14">
        <v>6.4099453793125196</v>
      </c>
      <c r="M14">
        <v>6.7832882352296497</v>
      </c>
      <c r="N14">
        <v>6.2849924776654102</v>
      </c>
      <c r="O14">
        <v>7.7794489226852299</v>
      </c>
      <c r="P14">
        <v>2.20440713750953E-3</v>
      </c>
      <c r="Q14">
        <v>1.2092101064668399</v>
      </c>
    </row>
    <row r="15" spans="1:17" x14ac:dyDescent="0.3">
      <c r="A15" t="s">
        <v>82</v>
      </c>
      <c r="B15" t="s">
        <v>83</v>
      </c>
      <c r="C15" t="s">
        <v>16</v>
      </c>
      <c r="D15">
        <v>6.1114751626697998</v>
      </c>
      <c r="E15">
        <v>4.7016068037963796</v>
      </c>
      <c r="F15">
        <v>5.0010153582085204</v>
      </c>
      <c r="G15">
        <v>4.9253666260357001</v>
      </c>
      <c r="H15">
        <v>4.4639473331594299</v>
      </c>
      <c r="I15">
        <v>4.6194219683547999</v>
      </c>
      <c r="J15">
        <v>4.9378199157455596</v>
      </c>
      <c r="K15">
        <v>6.4789544350237396</v>
      </c>
      <c r="L15">
        <v>5.3859571885872999</v>
      </c>
      <c r="M15">
        <v>5.1572747192981598</v>
      </c>
      <c r="N15">
        <v>5.4924115338255799</v>
      </c>
      <c r="O15">
        <v>7.1156560879449904</v>
      </c>
      <c r="P15">
        <v>3.3904779213553601E-2</v>
      </c>
      <c r="Q15">
        <v>1.18855783832747</v>
      </c>
    </row>
  </sheetData>
  <sortState xmlns:xlrd2="http://schemas.microsoft.com/office/spreadsheetml/2017/richdata2" ref="A2:Q15">
    <sortCondition descending="1" ref="Q2:Q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DEG</vt:lpstr>
      <vt:lpstr>Viral_protein_interaction_with_</vt:lpstr>
      <vt:lpstr>SigPathGenes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Denby-Lee</dc:creator>
  <cp:lastModifiedBy>Theo Denby-Lee</cp:lastModifiedBy>
  <dcterms:created xsi:type="dcterms:W3CDTF">2026-09-28T19:21:08Z</dcterms:created>
  <dcterms:modified xsi:type="dcterms:W3CDTF">2026-09-30T10:10:46Z</dcterms:modified>
</cp:coreProperties>
</file>