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414e28dbb05754/Desktop/Research Project/Candidate Genes/"/>
    </mc:Choice>
  </mc:AlternateContent>
  <xr:revisionPtr revIDLastSave="0" documentId="8_{515D7E47-BE4F-498B-8CB0-95A859D781D6}" xr6:coauthVersionLast="47" xr6:coauthVersionMax="47" xr10:uidLastSave="{00000000-0000-0000-0000-000000000000}"/>
  <bookViews>
    <workbookView xWindow="-108" yWindow="-108" windowWidth="23256" windowHeight="14616" activeTab="4" xr2:uid="{549F24F7-CA8E-429F-B720-1AA1497118C5}"/>
  </bookViews>
  <sheets>
    <sheet name="GSE35192" sheetId="1" r:id="rId1"/>
    <sheet name="GSE19496" sheetId="2" r:id="rId2"/>
    <sheet name="GSE248521" sheetId="3" r:id="rId3"/>
    <sheet name="Combined_Sheets" sheetId="4" r:id="rId4"/>
    <sheet name="All_shared_genes" sheetId="5" r:id="rId5"/>
  </sheets>
  <definedNames>
    <definedName name="_xlnm._FilterDatabase" localSheetId="4" hidden="1">All_shared_genes!$A$1:$K$9</definedName>
    <definedName name="_xlnm._FilterDatabase" localSheetId="3" hidden="1">Combined_Sheets!$A$1:$I$33</definedName>
    <definedName name="Connection1" localSheetId="0" hidden="1">'GSE35192'!$A$1:$Q$15</definedName>
    <definedName name="Connection2" localSheetId="1" hidden="1">'GSE19496'!$A$1:$AC$27</definedName>
    <definedName name="Connection3" localSheetId="2" hidden="1">'GSE248521'!$A$1:$Q$15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2" i="4" l="1" a="1"/>
  <c r="A31" i="4" s="1"/>
  <c r="K9" i="5"/>
  <c r="J9" i="5"/>
  <c r="K8" i="5"/>
  <c r="J8" i="5"/>
  <c r="K7" i="5"/>
  <c r="J7" i="5"/>
  <c r="K6" i="5"/>
  <c r="J6" i="5"/>
  <c r="K5" i="5"/>
  <c r="J5" i="5"/>
  <c r="K4" i="5"/>
  <c r="J4" i="5"/>
  <c r="K3" i="5"/>
  <c r="J3" i="5"/>
  <c r="K2" i="5"/>
  <c r="J2" i="5"/>
  <c r="C31" i="4" l="1"/>
  <c r="B31" i="4"/>
  <c r="I31" i="4"/>
  <c r="H31" i="4"/>
  <c r="G31" i="4"/>
  <c r="D31" i="4"/>
  <c r="A10" i="4"/>
  <c r="A18" i="4"/>
  <c r="A26" i="4"/>
  <c r="A2" i="4"/>
  <c r="A17" i="4"/>
  <c r="A33" i="4"/>
  <c r="A3" i="4"/>
  <c r="A11" i="4"/>
  <c r="A19" i="4"/>
  <c r="A27" i="4"/>
  <c r="A16" i="4"/>
  <c r="A4" i="4"/>
  <c r="A12" i="4"/>
  <c r="A20" i="4"/>
  <c r="A28" i="4"/>
  <c r="A9" i="4"/>
  <c r="A25" i="4"/>
  <c r="A5" i="4"/>
  <c r="A13" i="4"/>
  <c r="A21" i="4"/>
  <c r="A29" i="4"/>
  <c r="A8" i="4"/>
  <c r="A24" i="4"/>
  <c r="A32" i="4"/>
  <c r="A22" i="4"/>
  <c r="A30" i="4"/>
  <c r="A6" i="4"/>
  <c r="A14" i="4"/>
  <c r="A7" i="4"/>
  <c r="A15" i="4"/>
  <c r="A23" i="4"/>
  <c r="G24" i="4" l="1"/>
  <c r="C24" i="4"/>
  <c r="B24" i="4"/>
  <c r="D24" i="4"/>
  <c r="I24" i="4"/>
  <c r="H24" i="4"/>
  <c r="C15" i="4"/>
  <c r="I15" i="4"/>
  <c r="B15" i="4"/>
  <c r="H15" i="4"/>
  <c r="G15" i="4"/>
  <c r="D15" i="4"/>
  <c r="I33" i="4"/>
  <c r="H33" i="4"/>
  <c r="G33" i="4"/>
  <c r="D33" i="4"/>
  <c r="C33" i="4"/>
  <c r="B33" i="4"/>
  <c r="I29" i="4"/>
  <c r="G29" i="4"/>
  <c r="D29" i="4"/>
  <c r="C29" i="4"/>
  <c r="B29" i="4"/>
  <c r="H29" i="4"/>
  <c r="I17" i="4"/>
  <c r="G17" i="4"/>
  <c r="H17" i="4"/>
  <c r="D17" i="4"/>
  <c r="C17" i="4"/>
  <c r="B17" i="4"/>
  <c r="I14" i="4"/>
  <c r="H14" i="4"/>
  <c r="G14" i="4"/>
  <c r="D14" i="4"/>
  <c r="C14" i="4"/>
  <c r="B14" i="4"/>
  <c r="C4" i="4"/>
  <c r="B4" i="4"/>
  <c r="G4" i="4"/>
  <c r="I4" i="4"/>
  <c r="D4" i="4"/>
  <c r="H4" i="4"/>
  <c r="I2" i="4"/>
  <c r="H2" i="4"/>
  <c r="G2" i="4"/>
  <c r="D2" i="4"/>
  <c r="C2" i="4"/>
  <c r="B2" i="4"/>
  <c r="F31" i="4"/>
  <c r="E31" i="4"/>
  <c r="I30" i="4"/>
  <c r="H30" i="4"/>
  <c r="G30" i="4"/>
  <c r="D30" i="4"/>
  <c r="C30" i="4"/>
  <c r="B30" i="4"/>
  <c r="I5" i="4"/>
  <c r="G5" i="4"/>
  <c r="D5" i="4"/>
  <c r="H5" i="4"/>
  <c r="C5" i="4"/>
  <c r="B5" i="4"/>
  <c r="C27" i="4"/>
  <c r="I27" i="4"/>
  <c r="H27" i="4"/>
  <c r="B27" i="4"/>
  <c r="G27" i="4"/>
  <c r="D27" i="4"/>
  <c r="I18" i="4"/>
  <c r="H18" i="4"/>
  <c r="G18" i="4"/>
  <c r="D18" i="4"/>
  <c r="C18" i="4"/>
  <c r="B18" i="4"/>
  <c r="I22" i="4"/>
  <c r="H22" i="4"/>
  <c r="G22" i="4"/>
  <c r="D22" i="4"/>
  <c r="C22" i="4"/>
  <c r="B22" i="4"/>
  <c r="I25" i="4"/>
  <c r="G25" i="4"/>
  <c r="D25" i="4"/>
  <c r="C25" i="4"/>
  <c r="B25" i="4"/>
  <c r="H25" i="4"/>
  <c r="C19" i="4"/>
  <c r="B19" i="4"/>
  <c r="I19" i="4"/>
  <c r="H19" i="4"/>
  <c r="G19" i="4"/>
  <c r="D19" i="4"/>
  <c r="I10" i="4"/>
  <c r="H10" i="4"/>
  <c r="G10" i="4"/>
  <c r="D10" i="4"/>
  <c r="C10" i="4"/>
  <c r="B10" i="4"/>
  <c r="G32" i="4"/>
  <c r="C32" i="4"/>
  <c r="B32" i="4"/>
  <c r="I32" i="4"/>
  <c r="D32" i="4"/>
  <c r="H32" i="4"/>
  <c r="I9" i="4"/>
  <c r="G9" i="4"/>
  <c r="D9" i="4"/>
  <c r="C9" i="4"/>
  <c r="B9" i="4"/>
  <c r="H9" i="4"/>
  <c r="C11" i="4"/>
  <c r="I11" i="4"/>
  <c r="B11" i="4"/>
  <c r="H11" i="4"/>
  <c r="G11" i="4"/>
  <c r="D11" i="4"/>
  <c r="C23" i="4"/>
  <c r="I23" i="4"/>
  <c r="H23" i="4"/>
  <c r="B23" i="4"/>
  <c r="G23" i="4"/>
  <c r="D23" i="4"/>
  <c r="G28" i="4"/>
  <c r="C28" i="4"/>
  <c r="B28" i="4"/>
  <c r="D28" i="4"/>
  <c r="I28" i="4"/>
  <c r="H28" i="4"/>
  <c r="I3" i="4"/>
  <c r="H3" i="4"/>
  <c r="G3" i="4"/>
  <c r="C3" i="4"/>
  <c r="B3" i="4"/>
  <c r="D3" i="4"/>
  <c r="G8" i="4"/>
  <c r="C8" i="4"/>
  <c r="B8" i="4"/>
  <c r="I8" i="4"/>
  <c r="D8" i="4"/>
  <c r="H8" i="4"/>
  <c r="G20" i="4"/>
  <c r="C20" i="4"/>
  <c r="B20" i="4"/>
  <c r="D20" i="4"/>
  <c r="I20" i="4"/>
  <c r="H20" i="4"/>
  <c r="C7" i="4"/>
  <c r="B7" i="4"/>
  <c r="I7" i="4"/>
  <c r="H7" i="4"/>
  <c r="G7" i="4"/>
  <c r="D7" i="4"/>
  <c r="G12" i="4"/>
  <c r="C12" i="4"/>
  <c r="B12" i="4"/>
  <c r="D12" i="4"/>
  <c r="I12" i="4"/>
  <c r="H12" i="4"/>
  <c r="I21" i="4"/>
  <c r="G21" i="4"/>
  <c r="H21" i="4"/>
  <c r="D21" i="4"/>
  <c r="C21" i="4"/>
  <c r="B21" i="4"/>
  <c r="I6" i="4"/>
  <c r="H6" i="4"/>
  <c r="G6" i="4"/>
  <c r="D6" i="4"/>
  <c r="C6" i="4"/>
  <c r="B6" i="4"/>
  <c r="I13" i="4"/>
  <c r="G13" i="4"/>
  <c r="H13" i="4"/>
  <c r="D13" i="4"/>
  <c r="C13" i="4"/>
  <c r="B13" i="4"/>
  <c r="G16" i="4"/>
  <c r="C16" i="4"/>
  <c r="B16" i="4"/>
  <c r="D16" i="4"/>
  <c r="I16" i="4"/>
  <c r="H16" i="4"/>
  <c r="I26" i="4"/>
  <c r="H26" i="4"/>
  <c r="G26" i="4"/>
  <c r="D26" i="4"/>
  <c r="C26" i="4"/>
  <c r="B26" i="4"/>
  <c r="E13" i="4" l="1"/>
  <c r="F13" i="4"/>
  <c r="F23" i="4"/>
  <c r="E23" i="4"/>
  <c r="F19" i="4"/>
  <c r="E19" i="4"/>
  <c r="F22" i="4"/>
  <c r="E22" i="4"/>
  <c r="E30" i="4"/>
  <c r="F30" i="4"/>
  <c r="E2" i="4"/>
  <c r="F2" i="4"/>
  <c r="E29" i="4"/>
  <c r="F29" i="4"/>
  <c r="F20" i="4"/>
  <c r="E20" i="4"/>
  <c r="E5" i="4"/>
  <c r="F5" i="4"/>
  <c r="F4" i="4"/>
  <c r="E4" i="4"/>
  <c r="E17" i="4"/>
  <c r="F17" i="4"/>
  <c r="F3" i="4"/>
  <c r="E3" i="4"/>
  <c r="F28" i="4"/>
  <c r="E28" i="4"/>
  <c r="E9" i="4"/>
  <c r="F9" i="4"/>
  <c r="F32" i="4"/>
  <c r="E32" i="4"/>
  <c r="E25" i="4"/>
  <c r="F25" i="4"/>
  <c r="F26" i="4"/>
  <c r="E26" i="4"/>
  <c r="E21" i="4"/>
  <c r="F21" i="4"/>
  <c r="F7" i="4"/>
  <c r="E7" i="4"/>
  <c r="F14" i="4"/>
  <c r="E14" i="4"/>
  <c r="F16" i="4"/>
  <c r="E16" i="4"/>
  <c r="F12" i="4"/>
  <c r="E12" i="4"/>
  <c r="F24" i="4"/>
  <c r="E24" i="4"/>
  <c r="F6" i="4"/>
  <c r="E6" i="4"/>
  <c r="E10" i="4"/>
  <c r="F10" i="4"/>
  <c r="E18" i="4"/>
  <c r="F18" i="4"/>
  <c r="F27" i="4"/>
  <c r="E27" i="4"/>
  <c r="E33" i="4"/>
  <c r="F33" i="4"/>
  <c r="F8" i="4"/>
  <c r="E8" i="4"/>
  <c r="F11" i="4"/>
  <c r="E11" i="4"/>
  <c r="F15" i="4"/>
  <c r="E15" i="4"/>
</calcChain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00000000-0000-0000-0000-000000000000}" name="Connection1" type="5" refreshedVersion="3" background="1" saveData="1">
    <dbPr connection="Provider=Microsoft.Mashup.OleDb.1;Data Source=$Workbook$;Location=Signifiacant;Extended Properties=&quot;&quot;" command="SELECT * FROM [Signifiacant]"/>
  </connection>
  <connection id="2" xr16:uid="{00000000-0000-0000-0000-000000000000}" name="Connection2" type="5" refreshedVersion="3" background="1" saveData="1">
    <dbPr connection="Provider=Microsoft.Mashup.OleDb.1;Data Source=$Workbook$;Location=Significant;Extended Properties=&quot;&quot;" command="SELECT * FROM [Significant]"/>
  </connection>
  <connection id="3" xr16:uid="{00000000-0000-0000-0000-000000000000}" name="Connection3" type="5" refreshedVersion="3" background="1" saveData="1">
    <dbPr connection="Provider=Microsoft.Mashup.OleDb.1;Data Source=$Workbook$;Location=Sheet3;Extended Properties=&quot;&quot;" command="SELECT * FROM [Sheet3]"/>
  </connection>
</connections>
</file>

<file path=xl/sharedStrings.xml><?xml version="1.0" encoding="utf-8"?>
<sst xmlns="http://purl.oclc.org/ooxml/spreadsheetml/main" count="291" uniqueCount="112">
  <si>
    <t>Column1</t>
  </si>
  <si>
    <t>Ensembl_ID</t>
  </si>
  <si>
    <t>Regulation</t>
  </si>
  <si>
    <t>PBS_1</t>
  </si>
  <si>
    <t>PBS_2</t>
  </si>
  <si>
    <t>PBS_3</t>
  </si>
  <si>
    <t>PBS_4</t>
  </si>
  <si>
    <t>PBS_5</t>
  </si>
  <si>
    <t>PBS_6</t>
  </si>
  <si>
    <t>CVB3_1</t>
  </si>
  <si>
    <t>CVB3_2</t>
  </si>
  <si>
    <t>CVB3_3</t>
  </si>
  <si>
    <t>CVB3_4</t>
  </si>
  <si>
    <t>CVB3_5</t>
  </si>
  <si>
    <t>CVB3_6</t>
  </si>
  <si>
    <t>Adj P</t>
  </si>
  <si>
    <t>Log2FC</t>
  </si>
  <si>
    <t>Ccl8</t>
  </si>
  <si>
    <t>ENSMUSG00000009185</t>
  </si>
  <si>
    <t>Up</t>
  </si>
  <si>
    <t>Ccr2</t>
  </si>
  <si>
    <t>ENSMUSG00000049103</t>
  </si>
  <si>
    <t>Ccr5</t>
  </si>
  <si>
    <t>ENSMUSG00000079227</t>
  </si>
  <si>
    <t>Cxcl9</t>
  </si>
  <si>
    <t>ENSMUSG00000029417</t>
  </si>
  <si>
    <t>Cxcl10</t>
  </si>
  <si>
    <t>ENSMUSG00000034855</t>
  </si>
  <si>
    <t>Ccl3</t>
  </si>
  <si>
    <t>ENSMUSG00000000982</t>
  </si>
  <si>
    <t>Ccl12</t>
  </si>
  <si>
    <t>ENSMUSG00000035352</t>
  </si>
  <si>
    <t>Il2rb</t>
  </si>
  <si>
    <t>ENSMUSG00000068227</t>
  </si>
  <si>
    <t>Il10ra</t>
  </si>
  <si>
    <t>ENSMUSG00000032089</t>
  </si>
  <si>
    <t>Ccl7</t>
  </si>
  <si>
    <t>ENSMUSG00000035373</t>
  </si>
  <si>
    <t>Il18rap</t>
  </si>
  <si>
    <t>ENSMUSG00000026068</t>
  </si>
  <si>
    <t>Cxcr3</t>
  </si>
  <si>
    <t>ENSMUSG00000050232</t>
  </si>
  <si>
    <t>Ccl2</t>
  </si>
  <si>
    <t>ENSMUSG00000035385</t>
  </si>
  <si>
    <t>Tnfrsf1b</t>
  </si>
  <si>
    <t>ENSMUSG00000028599</t>
  </si>
  <si>
    <t>PBS_7</t>
  </si>
  <si>
    <t>PBS_8</t>
  </si>
  <si>
    <t>PBS_9</t>
  </si>
  <si>
    <t>PBS_10</t>
  </si>
  <si>
    <t>PBS_11</t>
  </si>
  <si>
    <t>PBS_12</t>
  </si>
  <si>
    <t>CVB3_7</t>
  </si>
  <si>
    <t>CVB3_8</t>
  </si>
  <si>
    <t>CVB3_9</t>
  </si>
  <si>
    <t>CVB3_10</t>
  </si>
  <si>
    <t>CVB3_11</t>
  </si>
  <si>
    <t>CVB3_12</t>
  </si>
  <si>
    <t>Ccl5</t>
  </si>
  <si>
    <t>ENSMUSG00000035042</t>
  </si>
  <si>
    <t>Ccl4</t>
  </si>
  <si>
    <t>ENSMUSG00000018930</t>
  </si>
  <si>
    <t>Cxcl13</t>
  </si>
  <si>
    <t>ENSMUSG00000023078</t>
  </si>
  <si>
    <t>Ccl19</t>
  </si>
  <si>
    <t>ENSMUSG00000071005</t>
  </si>
  <si>
    <t>Cxcl1</t>
  </si>
  <si>
    <t>ENSMUSG00000029380</t>
  </si>
  <si>
    <t>Ccl11</t>
  </si>
  <si>
    <t>ENSMUSG00000020676</t>
  </si>
  <si>
    <t>Tnf</t>
  </si>
  <si>
    <t>ENSMUSG00000024401</t>
  </si>
  <si>
    <t>Ccl9</t>
  </si>
  <si>
    <t>ENSMUSG00000019122</t>
  </si>
  <si>
    <t>Il18</t>
  </si>
  <si>
    <t>ENSMUSG00000039217</t>
  </si>
  <si>
    <t>Il6</t>
  </si>
  <si>
    <t>ENSMUSG00000025746</t>
  </si>
  <si>
    <t>Il20rb</t>
  </si>
  <si>
    <t>ENSMUSG00000044244</t>
  </si>
  <si>
    <t>Ccl6</t>
  </si>
  <si>
    <t>ENSMUSG00000018927</t>
  </si>
  <si>
    <t>Cxcl2</t>
  </si>
  <si>
    <t>ENSMUSG00000058427</t>
  </si>
  <si>
    <t>Il2rg</t>
  </si>
  <si>
    <t>ENSMUSG00000031304</t>
  </si>
  <si>
    <t>Tnfrsf1a</t>
  </si>
  <si>
    <t>ENSMUSG00000030341</t>
  </si>
  <si>
    <t>Xcl1</t>
  </si>
  <si>
    <t>ENSMUSG00000026573</t>
  </si>
  <si>
    <t>Tnfsf10</t>
  </si>
  <si>
    <t>ENSMUSG00000039304</t>
  </si>
  <si>
    <t>Gene.Symbol</t>
  </si>
  <si>
    <t>sham_1</t>
  </si>
  <si>
    <t>sham_2</t>
  </si>
  <si>
    <t>sham_3</t>
  </si>
  <si>
    <t>sham_4</t>
  </si>
  <si>
    <t>sham_5</t>
  </si>
  <si>
    <t>sham_6</t>
  </si>
  <si>
    <t>Ccr1</t>
  </si>
  <si>
    <t>ENSMUSG00000025804</t>
  </si>
  <si>
    <t>Total Shared Per Gene</t>
  </si>
  <si>
    <t>Named TSPG</t>
  </si>
  <si>
    <t>Sig1 Log2FC</t>
  </si>
  <si>
    <t>Sig2 Log2FC</t>
  </si>
  <si>
    <t>Sig RNA-Seq Log2FC</t>
  </si>
  <si>
    <t>Average Log2FC</t>
  </si>
  <si>
    <t xml:space="preserve">Standard Deviation LogFC </t>
  </si>
  <si>
    <t>Sig1+Sig2+SigRNA-Seq</t>
  </si>
  <si>
    <t>GSE35192</t>
  </si>
  <si>
    <t>GSE19496</t>
  </si>
  <si>
    <t>GSE248521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</si>
</sst>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connections" Target="connection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Connection1" connectionId="1" xr16:uid="{17D7F096-E7A1-42E3-8A85-31B29C76EE2C}" autoFormatId="0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Ensembl_ID" tableColumnId="2"/>
      <queryTableField id="3" name="Regulation" tableColumnId="3"/>
      <queryTableField id="4" name="PBS_1" tableColumnId="4"/>
      <queryTableField id="5" name="PBS_2" tableColumnId="5"/>
      <queryTableField id="6" name="PBS_3" tableColumnId="6"/>
      <queryTableField id="7" name="PBS_4" tableColumnId="7"/>
      <queryTableField id="8" name="PBS_5" tableColumnId="8"/>
      <queryTableField id="9" name="PBS_6" tableColumnId="9"/>
      <queryTableField id="10" name="CVB3_1" tableColumnId="10"/>
      <queryTableField id="11" name="CVB3_2" tableColumnId="11"/>
      <queryTableField id="12" name="CVB3_3" tableColumnId="12"/>
      <queryTableField id="13" name="CVB3_4" tableColumnId="13"/>
      <queryTableField id="14" name="CVB3_5" tableColumnId="14"/>
      <queryTableField id="15" name="CVB3_6" tableColumnId="15"/>
      <queryTableField id="16" name="Adj P" tableColumnId="16"/>
      <queryTableField id="17" name="Log2FC" tableColumnId="17"/>
    </queryTableFields>
  </queryTableRefresh>
</queryTable>
</file>

<file path=xl/queryTables/queryTable2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Connection2" connectionId="2" xr16:uid="{C892EBDC-62B3-47AC-9E81-D50CC3E47789}" autoFormatId="0" applyNumberFormats="0" applyBorderFormats="0" applyFontFormats="0" applyPatternFormats="0" applyAlignmentFormats="0" applyWidthHeightFormats="0">
  <queryTableRefresh nextId="30">
    <queryTableFields count="29">
      <queryTableField id="1" name="Column1" tableColumnId="1"/>
      <queryTableField id="2" name="Ensembl_ID" tableColumnId="2"/>
      <queryTableField id="3" name="Regulation" tableColumnId="3"/>
      <queryTableField id="4" name="PBS_1" tableColumnId="4"/>
      <queryTableField id="5" name="PBS_2" tableColumnId="5"/>
      <queryTableField id="6" name="PBS_3" tableColumnId="6"/>
      <queryTableField id="7" name="PBS_4" tableColumnId="7"/>
      <queryTableField id="8" name="PBS_5" tableColumnId="8"/>
      <queryTableField id="9" name="PBS_6" tableColumnId="9"/>
      <queryTableField id="10" name="PBS_7" tableColumnId="10"/>
      <queryTableField id="11" name="PBS_8" tableColumnId="11"/>
      <queryTableField id="12" name="PBS_9" tableColumnId="12"/>
      <queryTableField id="13" name="PBS_10" tableColumnId="13"/>
      <queryTableField id="14" name="PBS_11" tableColumnId="14"/>
      <queryTableField id="15" name="PBS_12" tableColumnId="15"/>
      <queryTableField id="16" name="CVB3_1" tableColumnId="16"/>
      <queryTableField id="17" name="CVB3_2" tableColumnId="17"/>
      <queryTableField id="18" name="CVB3_3" tableColumnId="18"/>
      <queryTableField id="19" name="CVB3_4" tableColumnId="19"/>
      <queryTableField id="20" name="CVB3_5" tableColumnId="20"/>
      <queryTableField id="21" name="CVB3_6" tableColumnId="21"/>
      <queryTableField id="22" name="CVB3_7" tableColumnId="22"/>
      <queryTableField id="23" name="CVB3_8" tableColumnId="23"/>
      <queryTableField id="24" name="CVB3_9" tableColumnId="24"/>
      <queryTableField id="25" name="CVB3_10" tableColumnId="25"/>
      <queryTableField id="26" name="CVB3_11" tableColumnId="26"/>
      <queryTableField id="27" name="CVB3_12" tableColumnId="27"/>
      <queryTableField id="28" name="Adj P" tableColumnId="28"/>
      <queryTableField id="29" name="Log2FC" tableColumnId="29"/>
    </queryTableFields>
  </queryTableRefresh>
</queryTable>
</file>

<file path=xl/queryTables/queryTable3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Connection3" connectionId="3" xr16:uid="{3B492A6C-9C51-4F18-9B14-B96E9A751660}" autoFormatId="0" applyNumberFormats="0" applyBorderFormats="0" applyFontFormats="0" applyPatternFormats="0" applyAlignmentFormats="0" applyWidthHeightFormats="0">
  <queryTableRefresh nextId="18">
    <queryTableFields count="17">
      <queryTableField id="1" name="Gene.Symbol" tableColumnId="1"/>
      <queryTableField id="2" name="Ensembl_ID" tableColumnId="2"/>
      <queryTableField id="3" name="Regulation" tableColumnId="3"/>
      <queryTableField id="4" name="sham_1" tableColumnId="4"/>
      <queryTableField id="5" name="sham_2" tableColumnId="5"/>
      <queryTableField id="6" name="sham_3" tableColumnId="6"/>
      <queryTableField id="7" name="sham_4" tableColumnId="7"/>
      <queryTableField id="8" name="sham_5" tableColumnId="8"/>
      <queryTableField id="9" name="sham_6" tableColumnId="9"/>
      <queryTableField id="10" name="CVB3_1" tableColumnId="10"/>
      <queryTableField id="11" name="CVB3_2" tableColumnId="11"/>
      <queryTableField id="12" name="CVB3_3" tableColumnId="12"/>
      <queryTableField id="13" name="CVB3_4" tableColumnId="13"/>
      <queryTableField id="14" name="CVB3_5" tableColumnId="14"/>
      <queryTableField id="15" name="CVB3_6" tableColumnId="15"/>
      <queryTableField id="16" name="Adj P" tableColumnId="16"/>
      <queryTableField id="17" name="Log2FC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3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F0E30C07-FBD7-4EEF-92FC-90E6EBC84369}" name="Signifiacant" displayName="Signifiacant" ref="A1:Q15" tableType="queryTable" totalsRowShown="0">
  <autoFilter ref="A1:Q15" xr:uid="{CABB1089-91D4-4D0B-9D7E-DC531C12A796}"/>
  <tableColumns count="17">
    <tableColumn id="1" xr3:uid="{CAFD1117-04E3-4C3F-AA33-CEB31DCF2445}" uniqueName="1" name="Column1" queryTableFieldId="1"/>
    <tableColumn id="2" xr3:uid="{A67CAFD9-5F31-4C35-99A5-40C0B59D4B6F}" uniqueName="2" name="Ensembl_ID" queryTableFieldId="2"/>
    <tableColumn id="3" xr3:uid="{17D92A94-3792-4B30-82C1-33198954B6EC}" uniqueName="3" name="Regulation" queryTableFieldId="3"/>
    <tableColumn id="4" xr3:uid="{902F3CCF-8109-4F78-9DE9-472325E22295}" uniqueName="4" name="PBS_1" queryTableFieldId="4"/>
    <tableColumn id="5" xr3:uid="{9ADEEBBB-2D55-45C3-ADE8-0C64450C0078}" uniqueName="5" name="PBS_2" queryTableFieldId="5"/>
    <tableColumn id="6" xr3:uid="{BEAD1733-F116-4FDB-B28D-B33C81AA63B0}" uniqueName="6" name="PBS_3" queryTableFieldId="6"/>
    <tableColumn id="7" xr3:uid="{33CEF303-5C9F-4A76-8AEB-B3938B2A7E63}" uniqueName="7" name="PBS_4" queryTableFieldId="7"/>
    <tableColumn id="8" xr3:uid="{4EE775FF-9D33-4554-89A5-45CFCD663E88}" uniqueName="8" name="PBS_5" queryTableFieldId="8"/>
    <tableColumn id="9" xr3:uid="{0D0E68A7-7C82-447D-BBCB-7BFE9148E51E}" uniqueName="9" name="PBS_6" queryTableFieldId="9"/>
    <tableColumn id="10" xr3:uid="{F4815013-C005-47C7-92E7-DF5D6F9B898E}" uniqueName="10" name="CVB3_1" queryTableFieldId="10"/>
    <tableColumn id="11" xr3:uid="{2AE6BCAB-E990-49C7-AC35-73EBF24072B1}" uniqueName="11" name="CVB3_2" queryTableFieldId="11"/>
    <tableColumn id="12" xr3:uid="{1DAF04F7-5FD4-4625-8823-6CE2B7EB5251}" uniqueName="12" name="CVB3_3" queryTableFieldId="12"/>
    <tableColumn id="13" xr3:uid="{47D638F1-1969-48D4-BA79-81A80A740364}" uniqueName="13" name="CVB3_4" queryTableFieldId="13"/>
    <tableColumn id="14" xr3:uid="{776BDF8A-B3EE-49E2-AB0D-C407FDB02FAB}" uniqueName="14" name="CVB3_5" queryTableFieldId="14"/>
    <tableColumn id="15" xr3:uid="{B9599A5E-0DAC-4CE2-AE57-D8D6F664D108}" uniqueName="15" name="CVB3_6" queryTableFieldId="15"/>
    <tableColumn id="16" xr3:uid="{E0B2CDAC-F181-4A70-B8E5-EDF4B4C792F3}" uniqueName="16" name="Adj P" queryTableFieldId="16"/>
    <tableColumn id="17" xr3:uid="{BB197314-E10F-496B-9989-F4D5AD794039}" uniqueName="17" name="Log2FC" queryTableFieldId="17"/>
  </tableColumns>
  <tableStyleInfo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0A2B223E-C285-49FC-AB94-674EF728F7F6}" name="Significant" displayName="Significant" ref="A1:AC27" tableType="queryTable" totalsRowShown="0">
  <autoFilter ref="A1:AC27" xr:uid="{0297FCC4-5F6F-4849-A67D-F4D6B207AE7E}"/>
  <tableColumns count="29">
    <tableColumn id="1" xr3:uid="{A2F8F77C-E5EE-49FC-96A5-B0E152D5D757}" uniqueName="1" name="Column1" queryTableFieldId="1"/>
    <tableColumn id="2" xr3:uid="{53281FD3-EE94-44B2-A67A-DE94C31CE4AB}" uniqueName="2" name="Ensembl_ID" queryTableFieldId="2"/>
    <tableColumn id="3" xr3:uid="{8DC4DD27-2B2F-489D-B6B9-EE4FEB11E638}" uniqueName="3" name="Regulation" queryTableFieldId="3"/>
    <tableColumn id="4" xr3:uid="{40DC6BCC-38FD-426A-A2C3-DCDEE1E8380D}" uniqueName="4" name="PBS_1" queryTableFieldId="4"/>
    <tableColumn id="5" xr3:uid="{209DE2BB-83BB-44A9-BCC6-6608649E5B69}" uniqueName="5" name="PBS_2" queryTableFieldId="5"/>
    <tableColumn id="6" xr3:uid="{3D7A8A7C-3B12-4CE6-9281-E07406552BE7}" uniqueName="6" name="PBS_3" queryTableFieldId="6"/>
    <tableColumn id="7" xr3:uid="{B22FEBC7-2093-448E-B245-7C2A26C9C9AE}" uniqueName="7" name="PBS_4" queryTableFieldId="7"/>
    <tableColumn id="8" xr3:uid="{01BA6BF1-60B2-4BE8-82F8-CEB5C2B49362}" uniqueName="8" name="PBS_5" queryTableFieldId="8"/>
    <tableColumn id="9" xr3:uid="{D86AF659-D354-4D75-8D76-75BA477C2AFB}" uniqueName="9" name="PBS_6" queryTableFieldId="9"/>
    <tableColumn id="10" xr3:uid="{B1D7B98C-8A0C-47BB-8691-0B4A53BD1B30}" uniqueName="10" name="PBS_7" queryTableFieldId="10"/>
    <tableColumn id="11" xr3:uid="{8A6830B1-97F1-411D-B4FC-498FE62CD191}" uniqueName="11" name="PBS_8" queryTableFieldId="11"/>
    <tableColumn id="12" xr3:uid="{9C245ABA-3080-4D01-9120-624C7A6C53D3}" uniqueName="12" name="PBS_9" queryTableFieldId="12"/>
    <tableColumn id="13" xr3:uid="{37F6A73A-F08C-4566-BDB1-D58BC8B3ADEB}" uniqueName="13" name="PBS_10" queryTableFieldId="13"/>
    <tableColumn id="14" xr3:uid="{465B15C7-E4A6-458E-BF06-0D266345EC6C}" uniqueName="14" name="PBS_11" queryTableFieldId="14"/>
    <tableColumn id="15" xr3:uid="{C9DF39BF-B129-4DDB-915E-A0776E381934}" uniqueName="15" name="PBS_12" queryTableFieldId="15"/>
    <tableColumn id="16" xr3:uid="{67F3AA23-8987-4AF1-94A7-F8F87F7407BD}" uniqueName="16" name="CVB3_1" queryTableFieldId="16"/>
    <tableColumn id="17" xr3:uid="{0E294AE3-B736-4B83-9B53-CB86DCF84684}" uniqueName="17" name="CVB3_2" queryTableFieldId="17"/>
    <tableColumn id="18" xr3:uid="{05CF377A-8A95-42A9-B7C7-31B90A260F26}" uniqueName="18" name="CVB3_3" queryTableFieldId="18"/>
    <tableColumn id="19" xr3:uid="{488281D5-E77C-406D-BEE0-7D112D69115B}" uniqueName="19" name="CVB3_4" queryTableFieldId="19"/>
    <tableColumn id="20" xr3:uid="{676A163A-4DAD-4B96-9832-4B8A63B429E6}" uniqueName="20" name="CVB3_5" queryTableFieldId="20"/>
    <tableColumn id="21" xr3:uid="{DD0E74AC-7AC2-4FE5-B1F8-FBDF95382361}" uniqueName="21" name="CVB3_6" queryTableFieldId="21"/>
    <tableColumn id="22" xr3:uid="{404B0A74-B6A5-4CC7-A33C-638BA7A345F2}" uniqueName="22" name="CVB3_7" queryTableFieldId="22"/>
    <tableColumn id="23" xr3:uid="{12A240E9-1FF0-4E86-B496-A2965DDD9F48}" uniqueName="23" name="CVB3_8" queryTableFieldId="23"/>
    <tableColumn id="24" xr3:uid="{69BBC697-BD17-4907-B5E2-79E18ABC9CD1}" uniqueName="24" name="CVB3_9" queryTableFieldId="24"/>
    <tableColumn id="25" xr3:uid="{1A5601A8-E732-4040-A9CD-44F6136D6ADD}" uniqueName="25" name="CVB3_10" queryTableFieldId="25"/>
    <tableColumn id="26" xr3:uid="{449DC22D-DF73-4893-9417-071F422680CE}" uniqueName="26" name="CVB3_11" queryTableFieldId="26"/>
    <tableColumn id="27" xr3:uid="{DDA39BBA-42C8-43D7-8CD5-3A28B2285187}" uniqueName="27" name="CVB3_12" queryTableFieldId="27"/>
    <tableColumn id="28" xr3:uid="{F7E83C1B-E7A0-4767-9398-36749DC472A5}" uniqueName="28" name="Adj P" queryTableFieldId="28"/>
    <tableColumn id="29" xr3:uid="{9C5FF126-65FF-4876-80CC-C229E4FB5A52}" uniqueName="29" name="Log2FC" queryTableFieldId="29"/>
  </tableColumns>
  <tableStyleInfo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96072F25-45B5-48CC-AC4A-6E68137DB591}" name="Sheet3" displayName="Sheet3" ref="A1:Q15" tableType="queryTable" totalsRowShown="0">
  <autoFilter ref="A1:Q15" xr:uid="{4C2B3D8F-A30E-4609-B7D5-371DB666BBC0}"/>
  <tableColumns count="17">
    <tableColumn id="1" xr3:uid="{00CE86F3-38F7-46E3-8147-692F1521271E}" uniqueName="1" name="Gene.Symbol" queryTableFieldId="1"/>
    <tableColumn id="2" xr3:uid="{B3B2BD09-5389-47C5-B65D-203AD2435094}" uniqueName="2" name="Ensembl_ID" queryTableFieldId="2"/>
    <tableColumn id="3" xr3:uid="{E74F3D6D-627A-4132-851F-F342FDA4DD54}" uniqueName="3" name="Regulation" queryTableFieldId="3"/>
    <tableColumn id="4" xr3:uid="{2748138B-5580-43B2-B49B-70438B4B7BB3}" uniqueName="4" name="sham_1" queryTableFieldId="4"/>
    <tableColumn id="5" xr3:uid="{CBF42843-AD26-4244-AD15-1003E13EA65E}" uniqueName="5" name="sham_2" queryTableFieldId="5"/>
    <tableColumn id="6" xr3:uid="{55F26D94-DF61-4AA0-A6C6-DE9DF75A705E}" uniqueName="6" name="sham_3" queryTableFieldId="6"/>
    <tableColumn id="7" xr3:uid="{2F9DA3B3-F8B4-44EE-A704-73F315441693}" uniqueName="7" name="sham_4" queryTableFieldId="7"/>
    <tableColumn id="8" xr3:uid="{B7E85D89-3D19-4DBD-B9DD-EFC9B350BE73}" uniqueName="8" name="sham_5" queryTableFieldId="8"/>
    <tableColumn id="9" xr3:uid="{446D4A75-B7DE-415C-B5AD-7498D5FE48CD}" uniqueName="9" name="sham_6" queryTableFieldId="9"/>
    <tableColumn id="10" xr3:uid="{A8B42269-0E51-4606-9FFA-E7CBA68E0FEC}" uniqueName="10" name="CVB3_1" queryTableFieldId="10"/>
    <tableColumn id="11" xr3:uid="{0A7C3FDB-B518-49EA-9235-298F638FF88E}" uniqueName="11" name="CVB3_2" queryTableFieldId="11"/>
    <tableColumn id="12" xr3:uid="{1CEFB7AA-5806-4247-89D4-29A49BA4472B}" uniqueName="12" name="CVB3_3" queryTableFieldId="12"/>
    <tableColumn id="13" xr3:uid="{04E498F2-8F94-40E5-AE81-58B06F576B06}" uniqueName="13" name="CVB3_4" queryTableFieldId="13"/>
    <tableColumn id="14" xr3:uid="{07291E9C-154A-4AFD-B337-79E883928EF6}" uniqueName="14" name="CVB3_5" queryTableFieldId="14"/>
    <tableColumn id="15" xr3:uid="{4120D168-2F46-4623-A428-23A57A77C91B}" uniqueName="15" name="CVB3_6" queryTableFieldId="15"/>
    <tableColumn id="16" xr3:uid="{0C61FB86-0294-4205-A3D6-92F112AD0BFB}" uniqueName="16" name="Adj P" queryTableFieldId="16"/>
    <tableColumn id="17" xr3:uid="{8D7F535B-2768-4E7C-9510-E40B876A5CDA}" uniqueName="17" name="Log2FC" queryTableFieldId="17"/>
  </tableColumns>
  <tableStyleInfo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4749-B164-4B26-BA46-AAE57C8939D6}">
  <dimension ref="A1:Q15"/>
  <sheetViews>
    <sheetView workbookViewId="0"/>
  </sheetViews>
  <sheetFormatPr defaultRowHeight="14.4" x14ac:dyDescent="0.3"/>
  <cols>
    <col min="1" max="1" width="10.44140625" bestFit="1" customWidth="1"/>
    <col min="2" max="2" width="20.5546875" bestFit="1" customWidth="1"/>
    <col min="3" max="3" width="11.6640625" bestFit="1" customWidth="1"/>
    <col min="4" max="9" width="8.21875" bestFit="1" customWidth="1"/>
    <col min="10" max="15" width="9.44140625" bestFit="1" customWidth="1"/>
    <col min="16" max="17" width="12" bestFit="1" customWidth="1"/>
    <col min="18" max="18" width="8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4.1069000000000004</v>
      </c>
      <c r="E2">
        <v>4.1538199999999996</v>
      </c>
      <c r="F2">
        <v>4.6053800000000003</v>
      </c>
      <c r="G2">
        <v>4.5843400000000001</v>
      </c>
      <c r="H2">
        <v>4.407</v>
      </c>
      <c r="I2">
        <v>3.8972199999999999</v>
      </c>
      <c r="J2">
        <v>8.2342499999999994</v>
      </c>
      <c r="K2">
        <v>7.1098299999999997</v>
      </c>
      <c r="L2">
        <v>6.6448799999999997</v>
      </c>
      <c r="M2">
        <v>7.8129</v>
      </c>
      <c r="N2">
        <v>7.07789</v>
      </c>
      <c r="O2">
        <v>8.6940500000000007</v>
      </c>
      <c r="P2">
        <v>1.5363127448019001E-5</v>
      </c>
      <c r="Q2">
        <v>3.3031899999999998</v>
      </c>
    </row>
    <row r="3" spans="1:17" x14ac:dyDescent="0.3">
      <c r="A3" t="s">
        <v>20</v>
      </c>
      <c r="B3" t="s">
        <v>21</v>
      </c>
      <c r="C3" t="s">
        <v>19</v>
      </c>
      <c r="D3">
        <v>4.5470600000000001</v>
      </c>
      <c r="E3">
        <v>4.43309</v>
      </c>
      <c r="F3">
        <v>4.54251</v>
      </c>
      <c r="G3">
        <v>4.6328800000000001</v>
      </c>
      <c r="H3">
        <v>4.4048299999999996</v>
      </c>
      <c r="I3">
        <v>4.6257999999999999</v>
      </c>
      <c r="J3">
        <v>8.4664900000000003</v>
      </c>
      <c r="K3">
        <v>7.3524000000000003</v>
      </c>
      <c r="L3">
        <v>6.7341800000000003</v>
      </c>
      <c r="M3">
        <v>7.2452800000000002</v>
      </c>
      <c r="N3">
        <v>7.16411</v>
      </c>
      <c r="O3">
        <v>8.2263400000000004</v>
      </c>
      <c r="P3">
        <v>1.5278080014457301E-5</v>
      </c>
      <c r="Q3">
        <v>3.0004383333333302</v>
      </c>
    </row>
    <row r="4" spans="1:17" x14ac:dyDescent="0.3">
      <c r="A4" t="s">
        <v>22</v>
      </c>
      <c r="B4" t="s">
        <v>23</v>
      </c>
      <c r="C4" t="s">
        <v>19</v>
      </c>
      <c r="D4">
        <v>5.84382</v>
      </c>
      <c r="E4">
        <v>5.8022900000000002</v>
      </c>
      <c r="F4">
        <v>5.6160399999999999</v>
      </c>
      <c r="G4">
        <v>5.8741099999999999</v>
      </c>
      <c r="H4">
        <v>5.3983499999999998</v>
      </c>
      <c r="I4">
        <v>5.7727000000000004</v>
      </c>
      <c r="J4">
        <v>9.1072299999999995</v>
      </c>
      <c r="K4">
        <v>7.8834999999999997</v>
      </c>
      <c r="L4">
        <v>7.6596000000000002</v>
      </c>
      <c r="M4">
        <v>8.2975200000000005</v>
      </c>
      <c r="N4">
        <v>7.9933899999999998</v>
      </c>
      <c r="O4">
        <v>9.1781699999999997</v>
      </c>
      <c r="P4">
        <v>1.5710530826301199E-5</v>
      </c>
      <c r="Q4">
        <v>2.6353499999999999</v>
      </c>
    </row>
    <row r="5" spans="1:17" x14ac:dyDescent="0.3">
      <c r="A5" t="s">
        <v>24</v>
      </c>
      <c r="B5" t="s">
        <v>25</v>
      </c>
      <c r="C5" t="s">
        <v>19</v>
      </c>
      <c r="D5">
        <v>5.2268999999999997</v>
      </c>
      <c r="E5">
        <v>4.7885200000000001</v>
      </c>
      <c r="F5">
        <v>5.2551800000000002</v>
      </c>
      <c r="G5">
        <v>4.6314799999999998</v>
      </c>
      <c r="H5">
        <v>4.2669300000000003</v>
      </c>
      <c r="I5">
        <v>4.5529099999999998</v>
      </c>
      <c r="J5">
        <v>8.6975700000000007</v>
      </c>
      <c r="K5">
        <v>6.8506400000000003</v>
      </c>
      <c r="L5">
        <v>6.9416900000000004</v>
      </c>
      <c r="M5">
        <v>7.44808</v>
      </c>
      <c r="N5">
        <v>6.4699600000000004</v>
      </c>
      <c r="O5">
        <v>7.7913699999999997</v>
      </c>
      <c r="P5">
        <v>1.4746114857122801E-4</v>
      </c>
      <c r="Q5">
        <v>2.5795650000000001</v>
      </c>
    </row>
    <row r="6" spans="1:17" x14ac:dyDescent="0.3">
      <c r="A6" t="s">
        <v>26</v>
      </c>
      <c r="B6" t="s">
        <v>27</v>
      </c>
      <c r="C6" t="s">
        <v>19</v>
      </c>
      <c r="D6">
        <v>4.9269400000000001</v>
      </c>
      <c r="E6">
        <v>5.32775</v>
      </c>
      <c r="F6">
        <v>5.15205</v>
      </c>
      <c r="G6">
        <v>4.8745700000000003</v>
      </c>
      <c r="H6">
        <v>4.9831399999999997</v>
      </c>
      <c r="I6">
        <v>5.1733000000000002</v>
      </c>
      <c r="J6">
        <v>8.7577099999999994</v>
      </c>
      <c r="K6">
        <v>6.8792</v>
      </c>
      <c r="L6">
        <v>7.3465999999999996</v>
      </c>
      <c r="M6">
        <v>7.0259099999999997</v>
      </c>
      <c r="N6">
        <v>6.98956</v>
      </c>
      <c r="O6">
        <v>8.0269399999999997</v>
      </c>
      <c r="P6">
        <v>7.5372050692496095E-5</v>
      </c>
      <c r="Q6">
        <v>2.4313616666666702</v>
      </c>
    </row>
    <row r="7" spans="1:17" x14ac:dyDescent="0.3">
      <c r="A7" t="s">
        <v>28</v>
      </c>
      <c r="B7" t="s">
        <v>29</v>
      </c>
      <c r="C7" t="s">
        <v>19</v>
      </c>
      <c r="D7">
        <v>5.09971</v>
      </c>
      <c r="E7">
        <v>4.8665099999999999</v>
      </c>
      <c r="F7">
        <v>5.1396899999999999</v>
      </c>
      <c r="G7">
        <v>4.8181900000000004</v>
      </c>
      <c r="H7">
        <v>4.6800899999999999</v>
      </c>
      <c r="I7">
        <v>4.7084999999999999</v>
      </c>
      <c r="J7">
        <v>7.62399</v>
      </c>
      <c r="K7">
        <v>6.3327299999999997</v>
      </c>
      <c r="L7">
        <v>6.3930499999999997</v>
      </c>
      <c r="M7">
        <v>6.6298199999999996</v>
      </c>
      <c r="N7">
        <v>6.72262</v>
      </c>
      <c r="O7">
        <v>7.5223599999999999</v>
      </c>
      <c r="P7">
        <v>6.0734934770262902E-5</v>
      </c>
      <c r="Q7">
        <v>1.9853133333333299</v>
      </c>
    </row>
    <row r="8" spans="1:17" x14ac:dyDescent="0.3">
      <c r="A8" t="s">
        <v>30</v>
      </c>
      <c r="B8" t="s">
        <v>31</v>
      </c>
      <c r="C8" t="s">
        <v>19</v>
      </c>
      <c r="D8">
        <v>4.7416200000000002</v>
      </c>
      <c r="E8">
        <v>5.12967</v>
      </c>
      <c r="F8">
        <v>4.6500500000000002</v>
      </c>
      <c r="G8">
        <v>4.9980200000000004</v>
      </c>
      <c r="H8">
        <v>4.6666699999999999</v>
      </c>
      <c r="I8">
        <v>4.9391699999999998</v>
      </c>
      <c r="J8">
        <v>6.9111099999999999</v>
      </c>
      <c r="K8">
        <v>5.8726099999999999</v>
      </c>
      <c r="L8">
        <v>5.83887</v>
      </c>
      <c r="M8">
        <v>6.3029200000000003</v>
      </c>
      <c r="N8">
        <v>6.5001699999999998</v>
      </c>
      <c r="O8">
        <v>7.2093699999999998</v>
      </c>
      <c r="P8">
        <v>2.6360407611755499E-4</v>
      </c>
      <c r="Q8">
        <v>1.584975</v>
      </c>
    </row>
    <row r="9" spans="1:17" x14ac:dyDescent="0.3">
      <c r="A9" t="s">
        <v>32</v>
      </c>
      <c r="B9" t="s">
        <v>33</v>
      </c>
      <c r="C9" t="s">
        <v>19</v>
      </c>
      <c r="D9">
        <v>5.2899599999999998</v>
      </c>
      <c r="E9">
        <v>5.3440799999999999</v>
      </c>
      <c r="F9">
        <v>5.0567700000000002</v>
      </c>
      <c r="G9">
        <v>5.0264300000000004</v>
      </c>
      <c r="H9">
        <v>4.8606199999999999</v>
      </c>
      <c r="I9">
        <v>5.1429</v>
      </c>
      <c r="J9">
        <v>7.3600700000000003</v>
      </c>
      <c r="K9">
        <v>6.4389099999999999</v>
      </c>
      <c r="L9">
        <v>5.9114899999999997</v>
      </c>
      <c r="M9">
        <v>6.8441799999999997</v>
      </c>
      <c r="N9">
        <v>6.0101599999999999</v>
      </c>
      <c r="O9">
        <v>6.8864000000000001</v>
      </c>
      <c r="P9">
        <v>5.2559898161074696E-4</v>
      </c>
      <c r="Q9">
        <v>1.4550749999999999</v>
      </c>
    </row>
    <row r="10" spans="1:17" x14ac:dyDescent="0.3">
      <c r="A10" t="s">
        <v>34</v>
      </c>
      <c r="B10" t="s">
        <v>35</v>
      </c>
      <c r="C10" t="s">
        <v>19</v>
      </c>
      <c r="D10">
        <v>6.3935500000000003</v>
      </c>
      <c r="E10">
        <v>6.2538099999999996</v>
      </c>
      <c r="F10">
        <v>6.48841</v>
      </c>
      <c r="G10">
        <v>6.3234199999999996</v>
      </c>
      <c r="H10">
        <v>6.4169999999999998</v>
      </c>
      <c r="I10">
        <v>6.3020500000000004</v>
      </c>
      <c r="J10">
        <v>8.2077799999999996</v>
      </c>
      <c r="K10">
        <v>7.4561000000000002</v>
      </c>
      <c r="L10">
        <v>7.14079</v>
      </c>
      <c r="M10">
        <v>7.6812300000000002</v>
      </c>
      <c r="N10">
        <v>7.2488000000000001</v>
      </c>
      <c r="O10">
        <v>8.0621700000000001</v>
      </c>
      <c r="P10">
        <v>1.87980927587764E-4</v>
      </c>
      <c r="Q10">
        <v>1.2697716666666701</v>
      </c>
    </row>
    <row r="11" spans="1:17" x14ac:dyDescent="0.3">
      <c r="A11" t="s">
        <v>36</v>
      </c>
      <c r="B11" t="s">
        <v>37</v>
      </c>
      <c r="C11" t="s">
        <v>19</v>
      </c>
      <c r="D11">
        <v>5.5468599999999997</v>
      </c>
      <c r="E11">
        <v>5.8281299999999998</v>
      </c>
      <c r="F11">
        <v>5.5871000000000004</v>
      </c>
      <c r="G11">
        <v>5.9120999999999997</v>
      </c>
      <c r="H11">
        <v>5.8978700000000002</v>
      </c>
      <c r="I11">
        <v>6.0377099999999997</v>
      </c>
      <c r="J11">
        <v>7.4020000000000001</v>
      </c>
      <c r="K11">
        <v>6.3655900000000001</v>
      </c>
      <c r="L11">
        <v>6.4718099999999996</v>
      </c>
      <c r="M11">
        <v>6.5488400000000002</v>
      </c>
      <c r="N11">
        <v>7.1707999999999998</v>
      </c>
      <c r="O11">
        <v>7.9808599999999998</v>
      </c>
      <c r="P11">
        <v>4.6422070361635702E-3</v>
      </c>
      <c r="Q11">
        <v>1.1883550000000001</v>
      </c>
    </row>
    <row r="12" spans="1:17" x14ac:dyDescent="0.3">
      <c r="A12" t="s">
        <v>38</v>
      </c>
      <c r="B12" t="s">
        <v>39</v>
      </c>
      <c r="C12" t="s">
        <v>19</v>
      </c>
      <c r="D12">
        <v>4.6725099999999999</v>
      </c>
      <c r="E12">
        <v>4.97668</v>
      </c>
      <c r="F12">
        <v>4.5808099999999996</v>
      </c>
      <c r="G12">
        <v>4.6908300000000001</v>
      </c>
      <c r="H12">
        <v>4.8052000000000001</v>
      </c>
      <c r="I12">
        <v>4.7466699999999999</v>
      </c>
      <c r="J12">
        <v>6.1539400000000004</v>
      </c>
      <c r="K12">
        <v>6.0122499999999999</v>
      </c>
      <c r="L12">
        <v>5.2399399999999998</v>
      </c>
      <c r="M12">
        <v>6.2988299999999997</v>
      </c>
      <c r="N12">
        <v>5.4205800000000002</v>
      </c>
      <c r="O12">
        <v>6.3936999999999999</v>
      </c>
      <c r="P12">
        <v>7.7213598823225804E-4</v>
      </c>
      <c r="Q12">
        <v>1.17442333333333</v>
      </c>
    </row>
    <row r="13" spans="1:17" x14ac:dyDescent="0.3">
      <c r="A13" t="s">
        <v>40</v>
      </c>
      <c r="B13" t="s">
        <v>41</v>
      </c>
      <c r="C13" t="s">
        <v>19</v>
      </c>
      <c r="D13">
        <v>5.56243</v>
      </c>
      <c r="E13">
        <v>5.7399300000000002</v>
      </c>
      <c r="F13">
        <v>5.5590200000000003</v>
      </c>
      <c r="G13">
        <v>5.61</v>
      </c>
      <c r="H13">
        <v>5.6652399999999998</v>
      </c>
      <c r="I13">
        <v>5.5405499999999996</v>
      </c>
      <c r="J13">
        <v>7.4350899999999998</v>
      </c>
      <c r="K13">
        <v>6.7208199999999998</v>
      </c>
      <c r="L13">
        <v>6.4619900000000001</v>
      </c>
      <c r="M13">
        <v>6.84274</v>
      </c>
      <c r="N13">
        <v>6.0694800000000004</v>
      </c>
      <c r="O13">
        <v>7.1707599999999996</v>
      </c>
      <c r="P13">
        <v>7.7064939584855401E-4</v>
      </c>
      <c r="Q13">
        <v>1.17061833333333</v>
      </c>
    </row>
    <row r="14" spans="1:17" x14ac:dyDescent="0.3">
      <c r="A14" t="s">
        <v>42</v>
      </c>
      <c r="B14" t="s">
        <v>43</v>
      </c>
      <c r="C14" t="s">
        <v>19</v>
      </c>
      <c r="D14">
        <v>4.9236599999999999</v>
      </c>
      <c r="E14">
        <v>4.6161099999999999</v>
      </c>
      <c r="F14">
        <v>4.9775099999999997</v>
      </c>
      <c r="G14">
        <v>4.8236800000000004</v>
      </c>
      <c r="H14">
        <v>4.96793</v>
      </c>
      <c r="I14">
        <v>5.5500699999999998</v>
      </c>
      <c r="J14">
        <v>6.5431800000000004</v>
      </c>
      <c r="K14">
        <v>5.43919</v>
      </c>
      <c r="L14">
        <v>5.8392799999999996</v>
      </c>
      <c r="M14">
        <v>5.3660500000000004</v>
      </c>
      <c r="N14">
        <v>6.0106900000000003</v>
      </c>
      <c r="O14">
        <v>7.16615</v>
      </c>
      <c r="P14">
        <v>1.51567426033642E-2</v>
      </c>
      <c r="Q14">
        <v>1.08426333333333</v>
      </c>
    </row>
    <row r="15" spans="1:17" x14ac:dyDescent="0.3">
      <c r="A15" t="s">
        <v>44</v>
      </c>
      <c r="B15" t="s">
        <v>45</v>
      </c>
      <c r="C15" t="s">
        <v>19</v>
      </c>
      <c r="D15">
        <v>7.4365399999999999</v>
      </c>
      <c r="E15">
        <v>7.4384300000000003</v>
      </c>
      <c r="F15">
        <v>7.5246000000000004</v>
      </c>
      <c r="G15">
        <v>7.5102900000000004</v>
      </c>
      <c r="H15">
        <v>7.5150899999999998</v>
      </c>
      <c r="I15">
        <v>7.6388400000000001</v>
      </c>
      <c r="J15">
        <v>9.1469299999999993</v>
      </c>
      <c r="K15">
        <v>8.2188099999999995</v>
      </c>
      <c r="L15">
        <v>8.1166199999999993</v>
      </c>
      <c r="M15">
        <v>8.6559200000000001</v>
      </c>
      <c r="N15">
        <v>8.1039899999999996</v>
      </c>
      <c r="O15">
        <v>9.1097000000000001</v>
      </c>
      <c r="P15">
        <v>1.5663148052964099E-3</v>
      </c>
      <c r="Q15">
        <v>1.04803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88BD-C7FD-49CF-8836-6F9DBD64C08D}">
  <dimension ref="A1:AC27"/>
  <sheetViews>
    <sheetView workbookViewId="0"/>
  </sheetViews>
  <sheetFormatPr defaultRowHeight="14.4" x14ac:dyDescent="0.3"/>
  <cols>
    <col min="1" max="1" width="10.44140625" bestFit="1" customWidth="1"/>
    <col min="2" max="2" width="20.5546875" bestFit="1" customWidth="1"/>
    <col min="3" max="3" width="11.6640625" bestFit="1" customWidth="1"/>
    <col min="4" max="12" width="9" bestFit="1" customWidth="1"/>
    <col min="13" max="15" width="9.21875" bestFit="1" customWidth="1"/>
    <col min="16" max="24" width="9.44140625" bestFit="1" customWidth="1"/>
    <col min="25" max="27" width="10.44140625" bestFit="1" customWidth="1"/>
    <col min="28" max="29" width="12" bestFit="1" customWidth="1"/>
    <col min="30" max="30" width="8.88671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15</v>
      </c>
      <c r="AC1" t="s">
        <v>16</v>
      </c>
    </row>
    <row r="2" spans="1:29" x14ac:dyDescent="0.3">
      <c r="A2" t="s">
        <v>26</v>
      </c>
      <c r="B2" t="s">
        <v>27</v>
      </c>
      <c r="C2" t="s">
        <v>19</v>
      </c>
      <c r="D2">
        <v>3.679001</v>
      </c>
      <c r="E2">
        <v>3.5571199999999998</v>
      </c>
      <c r="F2">
        <v>3.4519030000000002</v>
      </c>
      <c r="G2">
        <v>4.6367120000000002</v>
      </c>
      <c r="H2">
        <v>5.2343099999999998</v>
      </c>
      <c r="I2">
        <v>3.8371019999999998</v>
      </c>
      <c r="J2">
        <v>3.0783209999999999</v>
      </c>
      <c r="K2">
        <v>2.8193700000000002</v>
      </c>
      <c r="L2">
        <v>4.09605</v>
      </c>
      <c r="M2">
        <v>3.6292979999999999</v>
      </c>
      <c r="N2">
        <v>3.1964190000000001</v>
      </c>
      <c r="O2">
        <v>4.3627279999999997</v>
      </c>
      <c r="P2">
        <v>9.9246400000000001</v>
      </c>
      <c r="Q2">
        <v>9.8090119999999992</v>
      </c>
      <c r="R2">
        <v>10.83386</v>
      </c>
      <c r="S2">
        <v>10.82006</v>
      </c>
      <c r="T2">
        <v>11.844329999999999</v>
      </c>
      <c r="U2">
        <v>10.75323</v>
      </c>
      <c r="V2">
        <v>10.83389</v>
      </c>
      <c r="W2">
        <v>10.36143</v>
      </c>
      <c r="X2">
        <v>10.12786</v>
      </c>
      <c r="Y2">
        <v>10.4747</v>
      </c>
      <c r="Z2">
        <v>10.51674</v>
      </c>
      <c r="AA2">
        <v>11.01507</v>
      </c>
      <c r="AB2">
        <v>5.6757509278875895E-17</v>
      </c>
      <c r="AC2">
        <v>6.8113739999999998</v>
      </c>
    </row>
    <row r="3" spans="1:29" x14ac:dyDescent="0.3">
      <c r="A3" t="s">
        <v>42</v>
      </c>
      <c r="B3" t="s">
        <v>43</v>
      </c>
      <c r="C3" t="s">
        <v>19</v>
      </c>
      <c r="D3">
        <v>3.9659740000000001</v>
      </c>
      <c r="E3">
        <v>3.8643000000000001</v>
      </c>
      <c r="F3">
        <v>3.8013430000000001</v>
      </c>
      <c r="G3">
        <v>5.7361230000000001</v>
      </c>
      <c r="H3">
        <v>5.6950529999999997</v>
      </c>
      <c r="I3">
        <v>4.715109</v>
      </c>
      <c r="J3">
        <v>3.7564649999999999</v>
      </c>
      <c r="K3">
        <v>3.4235989999999998</v>
      </c>
      <c r="L3">
        <v>3.9009269999999998</v>
      </c>
      <c r="M3">
        <v>2.6325440000000002</v>
      </c>
      <c r="N3">
        <v>4.0684839999999998</v>
      </c>
      <c r="O3">
        <v>2.7177699999999998</v>
      </c>
      <c r="P3">
        <v>10.724729999999999</v>
      </c>
      <c r="Q3">
        <v>7.6891860000000003</v>
      </c>
      <c r="R3">
        <v>11.31157</v>
      </c>
      <c r="S3">
        <v>10.048959999999999</v>
      </c>
      <c r="T3">
        <v>11.43754</v>
      </c>
      <c r="U3">
        <v>10.537699999999999</v>
      </c>
      <c r="V3">
        <v>9.3159209999999995</v>
      </c>
      <c r="W3">
        <v>9.8278429999999997</v>
      </c>
      <c r="X3">
        <v>9.8258259999999993</v>
      </c>
      <c r="Y3">
        <v>10.85627</v>
      </c>
      <c r="Z3">
        <v>10.938459999999999</v>
      </c>
      <c r="AA3">
        <v>11.058960000000001</v>
      </c>
      <c r="AB3">
        <v>1.32865609788276E-12</v>
      </c>
      <c r="AC3">
        <v>6.2746062499999997</v>
      </c>
    </row>
    <row r="4" spans="1:29" x14ac:dyDescent="0.3">
      <c r="A4" t="s">
        <v>58</v>
      </c>
      <c r="B4" t="s">
        <v>59</v>
      </c>
      <c r="C4" t="s">
        <v>19</v>
      </c>
      <c r="D4">
        <v>5.8389949999999997</v>
      </c>
      <c r="E4">
        <v>5.4881770000000003</v>
      </c>
      <c r="F4">
        <v>5.9263599999999999</v>
      </c>
      <c r="G4">
        <v>7.5012800000000004</v>
      </c>
      <c r="H4">
        <v>7.5801220000000002</v>
      </c>
      <c r="I4">
        <v>6.8024009999999997</v>
      </c>
      <c r="J4">
        <v>4.8826080000000003</v>
      </c>
      <c r="K4">
        <v>3.7757489999999998</v>
      </c>
      <c r="L4">
        <v>5.5250779999999997</v>
      </c>
      <c r="M4">
        <v>6.231719</v>
      </c>
      <c r="N4">
        <v>5.5722149999999999</v>
      </c>
      <c r="O4">
        <v>6.622128</v>
      </c>
      <c r="P4">
        <v>10.073270000000001</v>
      </c>
      <c r="Q4">
        <v>9.554214</v>
      </c>
      <c r="R4">
        <v>9.7465150000000005</v>
      </c>
      <c r="S4">
        <v>13.28443</v>
      </c>
      <c r="T4">
        <v>13.03633</v>
      </c>
      <c r="U4">
        <v>13.12473</v>
      </c>
      <c r="V4">
        <v>13.17259</v>
      </c>
      <c r="W4">
        <v>12.91461</v>
      </c>
      <c r="X4">
        <v>12.694520000000001</v>
      </c>
      <c r="Y4">
        <v>12.65202</v>
      </c>
      <c r="Z4">
        <v>12.46869</v>
      </c>
      <c r="AA4">
        <v>10.95783</v>
      </c>
      <c r="AB4">
        <v>2.4270911478338701E-10</v>
      </c>
      <c r="AC4">
        <v>5.99440975</v>
      </c>
    </row>
    <row r="5" spans="1:29" x14ac:dyDescent="0.3">
      <c r="A5" t="s">
        <v>60</v>
      </c>
      <c r="B5" t="s">
        <v>61</v>
      </c>
      <c r="C5" t="s">
        <v>19</v>
      </c>
      <c r="D5">
        <v>6.1492290000000001</v>
      </c>
      <c r="E5">
        <v>6.2823710000000004</v>
      </c>
      <c r="F5">
        <v>6.732971</v>
      </c>
      <c r="G5">
        <v>6.6572550000000001</v>
      </c>
      <c r="H5">
        <v>6.4582949999999997</v>
      </c>
      <c r="I5">
        <v>6.769838</v>
      </c>
      <c r="J5">
        <v>4.2305619999999999</v>
      </c>
      <c r="K5">
        <v>4.6044900000000002</v>
      </c>
      <c r="L5">
        <v>4.6062450000000004</v>
      </c>
      <c r="M5">
        <v>4.032063</v>
      </c>
      <c r="N5">
        <v>4.0677490000000001</v>
      </c>
      <c r="O5">
        <v>4.2740030000000004</v>
      </c>
      <c r="P5">
        <v>9.6552310000000006</v>
      </c>
      <c r="Q5">
        <v>8.979158</v>
      </c>
      <c r="R5">
        <v>11.120010000000001</v>
      </c>
      <c r="S5">
        <v>11.93572</v>
      </c>
      <c r="T5">
        <v>12.2697</v>
      </c>
      <c r="U5">
        <v>11.810359999999999</v>
      </c>
      <c r="V5">
        <v>11.045400000000001</v>
      </c>
      <c r="W5">
        <v>10.587070000000001</v>
      </c>
      <c r="X5">
        <v>10.5846</v>
      </c>
      <c r="Y5">
        <v>10.614929999999999</v>
      </c>
      <c r="Z5">
        <v>10.84329</v>
      </c>
      <c r="AA5">
        <v>10.172890000000001</v>
      </c>
      <c r="AB5">
        <v>6.6440097052474894E-11</v>
      </c>
      <c r="AC5">
        <v>5.3961073333333403</v>
      </c>
    </row>
    <row r="6" spans="1:29" x14ac:dyDescent="0.3">
      <c r="A6" t="s">
        <v>36</v>
      </c>
      <c r="B6" t="s">
        <v>37</v>
      </c>
      <c r="C6" t="s">
        <v>19</v>
      </c>
      <c r="D6">
        <v>6.7137450000000003</v>
      </c>
      <c r="E6">
        <v>6.8898409999999997</v>
      </c>
      <c r="F6">
        <v>7.3674799999999996</v>
      </c>
      <c r="G6">
        <v>8.5102010000000003</v>
      </c>
      <c r="H6">
        <v>8.3290410000000001</v>
      </c>
      <c r="I6">
        <v>8.0528490000000001</v>
      </c>
      <c r="J6">
        <v>6.515803</v>
      </c>
      <c r="K6">
        <v>6.9059869999999997</v>
      </c>
      <c r="L6">
        <v>6.4111929999999999</v>
      </c>
      <c r="M6">
        <v>5.8392330000000001</v>
      </c>
      <c r="N6">
        <v>5.7166860000000002</v>
      </c>
      <c r="O6">
        <v>6.1579540000000001</v>
      </c>
      <c r="P6">
        <v>12.273389999999999</v>
      </c>
      <c r="Q6">
        <v>10.282769999999999</v>
      </c>
      <c r="R6">
        <v>13.17854</v>
      </c>
      <c r="S6">
        <v>12.52148</v>
      </c>
      <c r="T6">
        <v>13.31808</v>
      </c>
      <c r="U6">
        <v>12.76634</v>
      </c>
      <c r="V6">
        <v>11.60905</v>
      </c>
      <c r="W6">
        <v>12.01849</v>
      </c>
      <c r="X6">
        <v>12.064920000000001</v>
      </c>
      <c r="Y6">
        <v>12.37312</v>
      </c>
      <c r="Z6">
        <v>12.551130000000001</v>
      </c>
      <c r="AA6">
        <v>12.595409999999999</v>
      </c>
      <c r="AB6">
        <v>1.8490216310498999E-12</v>
      </c>
      <c r="AC6">
        <v>5.34522558333334</v>
      </c>
    </row>
    <row r="7" spans="1:29" x14ac:dyDescent="0.3">
      <c r="A7" t="s">
        <v>28</v>
      </c>
      <c r="B7" t="s">
        <v>29</v>
      </c>
      <c r="C7" t="s">
        <v>19</v>
      </c>
      <c r="D7">
        <v>3.732863</v>
      </c>
      <c r="E7">
        <v>4.3731429999999998</v>
      </c>
      <c r="F7">
        <v>4.2692019999999999</v>
      </c>
      <c r="G7">
        <v>4.2593160000000001</v>
      </c>
      <c r="H7">
        <v>3.762054</v>
      </c>
      <c r="I7">
        <v>3.3647239999999998</v>
      </c>
      <c r="J7">
        <v>2.2684540000000002</v>
      </c>
      <c r="K7">
        <v>2.6464180000000002</v>
      </c>
      <c r="L7">
        <v>2.3799250000000001</v>
      </c>
      <c r="M7">
        <v>3.3288440000000001</v>
      </c>
      <c r="N7">
        <v>2.4736919999999998</v>
      </c>
      <c r="O7">
        <v>2.4754139999999998</v>
      </c>
      <c r="P7">
        <v>7.3994280000000003</v>
      </c>
      <c r="Q7">
        <v>6.4322540000000004</v>
      </c>
      <c r="R7">
        <v>8.2219920000000002</v>
      </c>
      <c r="S7">
        <v>9.0098979999999997</v>
      </c>
      <c r="T7">
        <v>9.4195259999999994</v>
      </c>
      <c r="U7">
        <v>9.1010639999999992</v>
      </c>
      <c r="V7">
        <v>8.3275369999999995</v>
      </c>
      <c r="W7">
        <v>8.0093899999999998</v>
      </c>
      <c r="X7">
        <v>7.8385059999999998</v>
      </c>
      <c r="Y7">
        <v>7.6432330000000004</v>
      </c>
      <c r="Z7">
        <v>8.1229370000000003</v>
      </c>
      <c r="AA7">
        <v>7.3872010000000001</v>
      </c>
      <c r="AB7">
        <v>6.2686242521309098E-12</v>
      </c>
      <c r="AC7">
        <v>4.7982430833333298</v>
      </c>
    </row>
    <row r="8" spans="1:29" x14ac:dyDescent="0.3">
      <c r="A8" t="s">
        <v>62</v>
      </c>
      <c r="B8" t="s">
        <v>63</v>
      </c>
      <c r="C8" t="s">
        <v>19</v>
      </c>
      <c r="D8">
        <v>8.0134070000000008</v>
      </c>
      <c r="E8">
        <v>2.9862310000000001</v>
      </c>
      <c r="F8">
        <v>2.9948549999999998</v>
      </c>
      <c r="G8">
        <v>3.6540499999999998</v>
      </c>
      <c r="H8">
        <v>5.0571840000000003</v>
      </c>
      <c r="I8">
        <v>4.7910700000000004</v>
      </c>
      <c r="J8">
        <v>2.3341880000000002</v>
      </c>
      <c r="K8">
        <v>1.884641</v>
      </c>
      <c r="L8">
        <v>1.8719650000000001</v>
      </c>
      <c r="M8">
        <v>2.459886</v>
      </c>
      <c r="N8">
        <v>2.2943760000000002</v>
      </c>
      <c r="O8">
        <v>2.1942759999999999</v>
      </c>
      <c r="P8">
        <v>7.9301690000000002</v>
      </c>
      <c r="Q8">
        <v>9.3280840000000005</v>
      </c>
      <c r="R8">
        <v>8.0563570000000002</v>
      </c>
      <c r="S8">
        <v>5.8386129999999996</v>
      </c>
      <c r="T8">
        <v>6.228478</v>
      </c>
      <c r="U8">
        <v>11.735580000000001</v>
      </c>
      <c r="V8">
        <v>6.3561769999999997</v>
      </c>
      <c r="W8">
        <v>6.0984189999999998</v>
      </c>
      <c r="X8">
        <v>6.5459889999999996</v>
      </c>
      <c r="Y8">
        <v>6.3250229999999998</v>
      </c>
      <c r="Z8">
        <v>6.8895920000000004</v>
      </c>
      <c r="AA8">
        <v>6.3445850000000004</v>
      </c>
      <c r="AB8">
        <v>7.0613455217998194E-5</v>
      </c>
      <c r="AC8">
        <v>3.9284114166666702</v>
      </c>
    </row>
    <row r="9" spans="1:29" x14ac:dyDescent="0.3">
      <c r="A9" t="s">
        <v>64</v>
      </c>
      <c r="B9" t="s">
        <v>65</v>
      </c>
      <c r="C9" t="s">
        <v>19</v>
      </c>
      <c r="D9">
        <v>3.9629029999999998</v>
      </c>
      <c r="E9">
        <v>4.1450269999999998</v>
      </c>
      <c r="F9">
        <v>4.9209949999999996</v>
      </c>
      <c r="G9">
        <v>6.9024419999999997</v>
      </c>
      <c r="H9">
        <v>6.6854740000000001</v>
      </c>
      <c r="I9">
        <v>6.8695880000000002</v>
      </c>
      <c r="J9">
        <v>5.1984539999999999</v>
      </c>
      <c r="K9">
        <v>4.9063090000000003</v>
      </c>
      <c r="L9">
        <v>5.1310390000000003</v>
      </c>
      <c r="M9">
        <v>5.6496459999999997</v>
      </c>
      <c r="N9">
        <v>3.6764790000000001</v>
      </c>
      <c r="O9">
        <v>4.9553630000000002</v>
      </c>
      <c r="P9">
        <v>6.0122340000000003</v>
      </c>
      <c r="Q9">
        <v>5.8599589999999999</v>
      </c>
      <c r="R9">
        <v>7.0929859999999998</v>
      </c>
      <c r="S9">
        <v>9.4786739999999998</v>
      </c>
      <c r="T9">
        <v>9.9150530000000003</v>
      </c>
      <c r="U9">
        <v>9.3012479999999993</v>
      </c>
      <c r="V9">
        <v>10.034789999999999</v>
      </c>
      <c r="W9">
        <v>9.9644560000000002</v>
      </c>
      <c r="X9">
        <v>9.9259909999999998</v>
      </c>
      <c r="Y9">
        <v>9.7946410000000004</v>
      </c>
      <c r="Z9">
        <v>9.4153950000000002</v>
      </c>
      <c r="AA9">
        <v>8.3549779999999991</v>
      </c>
      <c r="AB9">
        <v>9.0326815980951297E-6</v>
      </c>
      <c r="AC9">
        <v>3.51222383333333</v>
      </c>
    </row>
    <row r="10" spans="1:29" x14ac:dyDescent="0.3">
      <c r="A10" t="s">
        <v>66</v>
      </c>
      <c r="B10" t="s">
        <v>67</v>
      </c>
      <c r="C10" t="s">
        <v>19</v>
      </c>
      <c r="D10">
        <v>7.1097010000000003</v>
      </c>
      <c r="E10">
        <v>8.0553760000000008</v>
      </c>
      <c r="F10">
        <v>8.3274150000000002</v>
      </c>
      <c r="G10">
        <v>7.6144499999999997</v>
      </c>
      <c r="H10">
        <v>7.6662939999999997</v>
      </c>
      <c r="I10">
        <v>6.9410699999999999</v>
      </c>
      <c r="J10">
        <v>5.9842579999999996</v>
      </c>
      <c r="K10">
        <v>6.6082289999999997</v>
      </c>
      <c r="L10">
        <v>6.0093059999999996</v>
      </c>
      <c r="M10">
        <v>5.98895</v>
      </c>
      <c r="N10">
        <v>6.646306</v>
      </c>
      <c r="O10">
        <v>5.5929779999999996</v>
      </c>
      <c r="P10">
        <v>13.16141</v>
      </c>
      <c r="Q10">
        <v>10.205399999999999</v>
      </c>
      <c r="R10">
        <v>12.684519999999999</v>
      </c>
      <c r="S10">
        <v>11.15447</v>
      </c>
      <c r="T10">
        <v>11.52632</v>
      </c>
      <c r="U10">
        <v>10.55583</v>
      </c>
      <c r="V10">
        <v>7.8026260000000001</v>
      </c>
      <c r="W10">
        <v>8.9092970000000005</v>
      </c>
      <c r="X10">
        <v>9.184215</v>
      </c>
      <c r="Y10">
        <v>9.143141</v>
      </c>
      <c r="Z10">
        <v>9.9229149999999997</v>
      </c>
      <c r="AA10">
        <v>9.5549320000000009</v>
      </c>
      <c r="AB10">
        <v>6.0334768998896701E-6</v>
      </c>
      <c r="AC10">
        <v>3.4383952500000001</v>
      </c>
    </row>
    <row r="11" spans="1:29" x14ac:dyDescent="0.3">
      <c r="A11" t="s">
        <v>17</v>
      </c>
      <c r="B11" t="s">
        <v>18</v>
      </c>
      <c r="C11" t="s">
        <v>19</v>
      </c>
      <c r="D11">
        <v>5.8192880000000002</v>
      </c>
      <c r="E11">
        <v>5.5184889999999998</v>
      </c>
      <c r="F11">
        <v>7.8225670000000003</v>
      </c>
      <c r="G11">
        <v>6.8147760000000002</v>
      </c>
      <c r="H11">
        <v>6.4344869999999998</v>
      </c>
      <c r="I11">
        <v>6.0039829999999998</v>
      </c>
      <c r="J11">
        <v>3.1670850000000002</v>
      </c>
      <c r="K11">
        <v>2.633038</v>
      </c>
      <c r="L11">
        <v>3.4161619999999999</v>
      </c>
      <c r="M11">
        <v>2.7277979999999999</v>
      </c>
      <c r="N11">
        <v>2.617947</v>
      </c>
      <c r="O11">
        <v>2.9854340000000001</v>
      </c>
      <c r="P11">
        <v>7.1765239999999997</v>
      </c>
      <c r="Q11">
        <v>8.1455559999999991</v>
      </c>
      <c r="R11">
        <v>9.1658950000000008</v>
      </c>
      <c r="S11">
        <v>8.8441480000000006</v>
      </c>
      <c r="T11">
        <v>8.5621030000000005</v>
      </c>
      <c r="U11">
        <v>8.3437459999999994</v>
      </c>
      <c r="V11">
        <v>7.2462309999999999</v>
      </c>
      <c r="W11">
        <v>7.2446950000000001</v>
      </c>
      <c r="X11">
        <v>7.4213889999999996</v>
      </c>
      <c r="Y11">
        <v>7.4915529999999997</v>
      </c>
      <c r="Z11">
        <v>7.3745989999999999</v>
      </c>
      <c r="AA11">
        <v>6.695538</v>
      </c>
      <c r="AB11">
        <v>1.1606698782631599E-4</v>
      </c>
      <c r="AC11">
        <v>3.14591025</v>
      </c>
    </row>
    <row r="12" spans="1:29" x14ac:dyDescent="0.3">
      <c r="A12" t="s">
        <v>30</v>
      </c>
      <c r="B12" t="s">
        <v>31</v>
      </c>
      <c r="C12" t="s">
        <v>19</v>
      </c>
      <c r="D12">
        <v>7.2190180000000002</v>
      </c>
      <c r="E12">
        <v>7.9440470000000003</v>
      </c>
      <c r="F12">
        <v>7.6355529999999998</v>
      </c>
      <c r="G12">
        <v>8.7700440000000004</v>
      </c>
      <c r="H12">
        <v>8.3968640000000008</v>
      </c>
      <c r="I12">
        <v>7.9313650000000004</v>
      </c>
      <c r="J12">
        <v>6.0923780000000001</v>
      </c>
      <c r="K12">
        <v>6.9225060000000003</v>
      </c>
      <c r="L12">
        <v>6.3856330000000003</v>
      </c>
      <c r="M12">
        <v>6.3011670000000004</v>
      </c>
      <c r="N12">
        <v>6.3383060000000002</v>
      </c>
      <c r="O12">
        <v>6.5769710000000003</v>
      </c>
      <c r="P12">
        <v>7.9186680000000003</v>
      </c>
      <c r="Q12">
        <v>8.9169389999999993</v>
      </c>
      <c r="R12">
        <v>10.804449999999999</v>
      </c>
      <c r="S12">
        <v>11.19346</v>
      </c>
      <c r="T12">
        <v>11.649150000000001</v>
      </c>
      <c r="U12">
        <v>11.34657</v>
      </c>
      <c r="V12">
        <v>10.648289999999999</v>
      </c>
      <c r="W12">
        <v>10.33684</v>
      </c>
      <c r="X12">
        <v>10.220560000000001</v>
      </c>
      <c r="Y12">
        <v>10.216710000000001</v>
      </c>
      <c r="Z12">
        <v>10.14418</v>
      </c>
      <c r="AA12">
        <v>10.01796</v>
      </c>
      <c r="AB12">
        <v>5.1909525216704905E-7</v>
      </c>
      <c r="AC12">
        <v>3.07499375</v>
      </c>
    </row>
    <row r="13" spans="1:29" x14ac:dyDescent="0.3">
      <c r="A13" t="s">
        <v>24</v>
      </c>
      <c r="B13" t="s">
        <v>25</v>
      </c>
      <c r="C13" t="s">
        <v>19</v>
      </c>
      <c r="D13">
        <v>8.1619820000000001</v>
      </c>
      <c r="E13">
        <v>8.4331399999999999</v>
      </c>
      <c r="F13">
        <v>8.1287640000000003</v>
      </c>
      <c r="G13">
        <v>9.1901329999999994</v>
      </c>
      <c r="H13">
        <v>9.7313120000000009</v>
      </c>
      <c r="I13">
        <v>9.578144</v>
      </c>
      <c r="J13">
        <v>7.8631330000000004</v>
      </c>
      <c r="K13">
        <v>8.6045870000000004</v>
      </c>
      <c r="L13">
        <v>8.1814040000000006</v>
      </c>
      <c r="M13">
        <v>8.3313229999999994</v>
      </c>
      <c r="N13">
        <v>8.1158450000000002</v>
      </c>
      <c r="O13">
        <v>8.304748</v>
      </c>
      <c r="P13">
        <v>8.5717400000000001</v>
      </c>
      <c r="Q13">
        <v>10.42906</v>
      </c>
      <c r="R13">
        <v>10.216089999999999</v>
      </c>
      <c r="S13">
        <v>12.439299999999999</v>
      </c>
      <c r="T13">
        <v>12.297330000000001</v>
      </c>
      <c r="U13">
        <v>12.071580000000001</v>
      </c>
      <c r="V13">
        <v>12.409509999999999</v>
      </c>
      <c r="W13">
        <v>11.619870000000001</v>
      </c>
      <c r="X13">
        <v>11.27422</v>
      </c>
      <c r="Y13">
        <v>11.393969999999999</v>
      </c>
      <c r="Z13">
        <v>11.229570000000001</v>
      </c>
      <c r="AA13">
        <v>10.741400000000001</v>
      </c>
      <c r="AB13">
        <v>1.6207585415197101E-6</v>
      </c>
      <c r="AC13">
        <v>2.6724270833333299</v>
      </c>
    </row>
    <row r="14" spans="1:29" x14ac:dyDescent="0.3">
      <c r="A14" t="s">
        <v>68</v>
      </c>
      <c r="B14" t="s">
        <v>69</v>
      </c>
      <c r="C14" t="s">
        <v>19</v>
      </c>
      <c r="D14">
        <v>7.1460869999999996</v>
      </c>
      <c r="E14">
        <v>6.7370739999999998</v>
      </c>
      <c r="F14">
        <v>7.0007020000000004</v>
      </c>
      <c r="G14">
        <v>6.4975560000000003</v>
      </c>
      <c r="H14">
        <v>6.3495030000000003</v>
      </c>
      <c r="I14">
        <v>7.2590570000000003</v>
      </c>
      <c r="J14">
        <v>6.2077879999999999</v>
      </c>
      <c r="K14">
        <v>6.3057949999999998</v>
      </c>
      <c r="L14">
        <v>6.1531010000000004</v>
      </c>
      <c r="M14">
        <v>5.4330759999999998</v>
      </c>
      <c r="N14">
        <v>5.9054549999999999</v>
      </c>
      <c r="O14">
        <v>5.8946730000000001</v>
      </c>
      <c r="P14">
        <v>10.284380000000001</v>
      </c>
      <c r="Q14">
        <v>9.6749790000000004</v>
      </c>
      <c r="R14">
        <v>10.037599999999999</v>
      </c>
      <c r="S14">
        <v>9.2936890000000005</v>
      </c>
      <c r="T14">
        <v>9.2737010000000009</v>
      </c>
      <c r="U14">
        <v>8.8448639999999994</v>
      </c>
      <c r="V14">
        <v>7.9448819999999998</v>
      </c>
      <c r="W14">
        <v>8.7795330000000007</v>
      </c>
      <c r="X14">
        <v>8.4376479999999994</v>
      </c>
      <c r="Y14">
        <v>8.0375809999999994</v>
      </c>
      <c r="Z14">
        <v>8.9660650000000004</v>
      </c>
      <c r="AA14">
        <v>7.9409239999999999</v>
      </c>
      <c r="AB14">
        <v>4.5094112781941399E-8</v>
      </c>
      <c r="AC14">
        <v>2.55216491666667</v>
      </c>
    </row>
    <row r="15" spans="1:29" x14ac:dyDescent="0.3">
      <c r="A15" t="s">
        <v>70</v>
      </c>
      <c r="B15" t="s">
        <v>71</v>
      </c>
      <c r="C15" t="s">
        <v>19</v>
      </c>
      <c r="D15">
        <v>3.6401279999999998</v>
      </c>
      <c r="E15">
        <v>3.7726289999999998</v>
      </c>
      <c r="F15">
        <v>3.8080940000000001</v>
      </c>
      <c r="G15">
        <v>4.0067009999999996</v>
      </c>
      <c r="H15">
        <v>3.8339259999999999</v>
      </c>
      <c r="I15">
        <v>4.749282</v>
      </c>
      <c r="J15">
        <v>2.1888320000000001</v>
      </c>
      <c r="K15">
        <v>3.458596</v>
      </c>
      <c r="L15">
        <v>2.3068029999999999</v>
      </c>
      <c r="M15">
        <v>2.0670730000000002</v>
      </c>
      <c r="N15">
        <v>2.0929690000000001</v>
      </c>
      <c r="O15">
        <v>2.8908330000000002</v>
      </c>
      <c r="P15">
        <v>5.0165259999999998</v>
      </c>
      <c r="Q15">
        <v>3.6733479999999998</v>
      </c>
      <c r="R15">
        <v>5.5967929999999999</v>
      </c>
      <c r="S15">
        <v>6.2793060000000001</v>
      </c>
      <c r="T15">
        <v>7.5445349999999998</v>
      </c>
      <c r="U15">
        <v>6.7606780000000004</v>
      </c>
      <c r="V15">
        <v>5.9888209999999997</v>
      </c>
      <c r="W15">
        <v>5.3723919999999996</v>
      </c>
      <c r="X15">
        <v>6.0349250000000003</v>
      </c>
      <c r="Y15">
        <v>5.6076569999999997</v>
      </c>
      <c r="Z15">
        <v>6.1253339999999996</v>
      </c>
      <c r="AA15">
        <v>4.5557049999999997</v>
      </c>
      <c r="AB15">
        <v>1.1802497234126E-5</v>
      </c>
      <c r="AC15">
        <v>2.47834616666667</v>
      </c>
    </row>
    <row r="16" spans="1:29" x14ac:dyDescent="0.3">
      <c r="A16" t="s">
        <v>72</v>
      </c>
      <c r="B16" t="s">
        <v>73</v>
      </c>
      <c r="C16" t="s">
        <v>19</v>
      </c>
      <c r="D16">
        <v>8.8400649999999992</v>
      </c>
      <c r="E16">
        <v>8.9952880000000004</v>
      </c>
      <c r="F16">
        <v>9.4457819999999995</v>
      </c>
      <c r="G16">
        <v>10.25103</v>
      </c>
      <c r="H16">
        <v>10.37505</v>
      </c>
      <c r="I16">
        <v>10.09609</v>
      </c>
      <c r="J16">
        <v>9.3917059999999992</v>
      </c>
      <c r="K16">
        <v>9.0929970000000004</v>
      </c>
      <c r="L16">
        <v>9.3744340000000008</v>
      </c>
      <c r="M16">
        <v>9.6089880000000001</v>
      </c>
      <c r="N16">
        <v>8.8937229999999996</v>
      </c>
      <c r="O16">
        <v>9.1470800000000008</v>
      </c>
      <c r="P16">
        <v>10.93094</v>
      </c>
      <c r="Q16">
        <v>11.347619999999999</v>
      </c>
      <c r="R16">
        <v>11.76468</v>
      </c>
      <c r="S16">
        <v>12.13871</v>
      </c>
      <c r="T16">
        <v>12.135350000000001</v>
      </c>
      <c r="U16">
        <v>12.412369999999999</v>
      </c>
      <c r="V16">
        <v>11.521509999999999</v>
      </c>
      <c r="W16">
        <v>11.16835</v>
      </c>
      <c r="X16">
        <v>11.406980000000001</v>
      </c>
      <c r="Y16">
        <v>11.72409</v>
      </c>
      <c r="Z16">
        <v>11.77772</v>
      </c>
      <c r="AA16">
        <v>11.03046</v>
      </c>
      <c r="AB16">
        <v>8.2099993118466493E-9</v>
      </c>
      <c r="AC16">
        <v>2.1538789166666699</v>
      </c>
    </row>
    <row r="17" spans="1:29" x14ac:dyDescent="0.3">
      <c r="A17" t="s">
        <v>34</v>
      </c>
      <c r="B17" t="s">
        <v>35</v>
      </c>
      <c r="C17" t="s">
        <v>19</v>
      </c>
      <c r="D17">
        <v>4.1777410000000001</v>
      </c>
      <c r="E17">
        <v>4.3937850000000003</v>
      </c>
      <c r="F17">
        <v>5.4663279999999999</v>
      </c>
      <c r="G17">
        <v>6.202928</v>
      </c>
      <c r="H17">
        <v>6.8327249999999999</v>
      </c>
      <c r="I17">
        <v>5.2609389999999996</v>
      </c>
      <c r="J17">
        <v>2.8129019999999998</v>
      </c>
      <c r="K17">
        <v>4.5419169999999998</v>
      </c>
      <c r="L17">
        <v>5.016375</v>
      </c>
      <c r="M17">
        <v>4.8168519999999999</v>
      </c>
      <c r="N17">
        <v>4.3957560000000004</v>
      </c>
      <c r="O17">
        <v>4.8188820000000003</v>
      </c>
      <c r="P17">
        <v>5.7310189999999999</v>
      </c>
      <c r="Q17">
        <v>5.6752380000000002</v>
      </c>
      <c r="R17">
        <v>6.6804600000000001</v>
      </c>
      <c r="S17">
        <v>8.4238959999999992</v>
      </c>
      <c r="T17">
        <v>8.5012589999999992</v>
      </c>
      <c r="U17">
        <v>8.2821540000000002</v>
      </c>
      <c r="V17">
        <v>7.1624949999999998</v>
      </c>
      <c r="W17">
        <v>7.1366620000000003</v>
      </c>
      <c r="X17">
        <v>7.0039730000000002</v>
      </c>
      <c r="Y17">
        <v>6.95296</v>
      </c>
      <c r="Z17">
        <v>6.7648630000000001</v>
      </c>
      <c r="AA17">
        <v>6.1592419999999999</v>
      </c>
      <c r="AB17">
        <v>1.3552651990125401E-4</v>
      </c>
      <c r="AC17">
        <v>2.1447575833333299</v>
      </c>
    </row>
    <row r="18" spans="1:29" x14ac:dyDescent="0.3">
      <c r="A18" t="s">
        <v>74</v>
      </c>
      <c r="B18" t="s">
        <v>75</v>
      </c>
      <c r="C18" t="s">
        <v>19</v>
      </c>
      <c r="D18">
        <v>3.3896639999999998</v>
      </c>
      <c r="E18">
        <v>3.1620560000000002</v>
      </c>
      <c r="F18">
        <v>3.0874450000000002</v>
      </c>
      <c r="G18">
        <v>4.4819209999999998</v>
      </c>
      <c r="H18">
        <v>4.7089230000000004</v>
      </c>
      <c r="I18">
        <v>4.7743190000000002</v>
      </c>
      <c r="J18">
        <v>3.8644980000000002</v>
      </c>
      <c r="K18">
        <v>3.7973910000000002</v>
      </c>
      <c r="L18">
        <v>4.0727900000000004</v>
      </c>
      <c r="M18">
        <v>5.2962980000000002</v>
      </c>
      <c r="N18">
        <v>3.1338720000000002</v>
      </c>
      <c r="O18">
        <v>3.8642820000000002</v>
      </c>
      <c r="P18">
        <v>4.8849049999999998</v>
      </c>
      <c r="Q18">
        <v>5.2089429999999997</v>
      </c>
      <c r="R18">
        <v>6.6771440000000002</v>
      </c>
      <c r="S18">
        <v>6.8989830000000003</v>
      </c>
      <c r="T18">
        <v>6.5873999999999997</v>
      </c>
      <c r="U18">
        <v>7.1687149999999997</v>
      </c>
      <c r="V18">
        <v>5.9311590000000001</v>
      </c>
      <c r="W18">
        <v>5.7700300000000002</v>
      </c>
      <c r="X18">
        <v>6.1755440000000004</v>
      </c>
      <c r="Y18">
        <v>6.0217700000000001</v>
      </c>
      <c r="Z18">
        <v>6.0417620000000003</v>
      </c>
      <c r="AA18">
        <v>5.4451010000000002</v>
      </c>
      <c r="AB18">
        <v>2.1649651461023102E-6</v>
      </c>
      <c r="AC18">
        <v>2.09816641666667</v>
      </c>
    </row>
    <row r="19" spans="1:29" x14ac:dyDescent="0.3">
      <c r="A19" t="s">
        <v>44</v>
      </c>
      <c r="B19" t="s">
        <v>45</v>
      </c>
      <c r="C19" t="s">
        <v>19</v>
      </c>
      <c r="D19">
        <v>3.7633930000000002</v>
      </c>
      <c r="E19">
        <v>4.4191839999999996</v>
      </c>
      <c r="F19">
        <v>4.7263080000000004</v>
      </c>
      <c r="G19">
        <v>4.7575269999999996</v>
      </c>
      <c r="H19">
        <v>5.4700519999999999</v>
      </c>
      <c r="I19">
        <v>3.6586249999999998</v>
      </c>
      <c r="J19">
        <v>4.4960620000000002</v>
      </c>
      <c r="K19">
        <v>3.7742100000000001</v>
      </c>
      <c r="L19">
        <v>4.7220279999999999</v>
      </c>
      <c r="M19">
        <v>4.5794280000000001</v>
      </c>
      <c r="N19">
        <v>3.6181549999999998</v>
      </c>
      <c r="O19">
        <v>4.4359739999999999</v>
      </c>
      <c r="P19">
        <v>6.3488689999999997</v>
      </c>
      <c r="Q19">
        <v>5.4803360000000003</v>
      </c>
      <c r="R19">
        <v>6.6960150000000001</v>
      </c>
      <c r="S19">
        <v>6.8371940000000002</v>
      </c>
      <c r="T19">
        <v>6.7035020000000003</v>
      </c>
      <c r="U19">
        <v>6.8430169999999997</v>
      </c>
      <c r="V19">
        <v>6.2931280000000003</v>
      </c>
      <c r="W19">
        <v>6.317596</v>
      </c>
      <c r="X19">
        <v>6.4465339999999998</v>
      </c>
      <c r="Y19">
        <v>5.9281550000000003</v>
      </c>
      <c r="Z19">
        <v>6.9379280000000003</v>
      </c>
      <c r="AA19">
        <v>6.3631320000000002</v>
      </c>
      <c r="AB19">
        <v>1.7274806958295501E-8</v>
      </c>
      <c r="AC19">
        <v>2.0645383333333398</v>
      </c>
    </row>
    <row r="20" spans="1:29" x14ac:dyDescent="0.3">
      <c r="A20" t="s">
        <v>76</v>
      </c>
      <c r="B20" t="s">
        <v>77</v>
      </c>
      <c r="C20" t="s">
        <v>19</v>
      </c>
      <c r="D20">
        <v>3.4502299999999999</v>
      </c>
      <c r="E20">
        <v>3.5749369999999998</v>
      </c>
      <c r="F20">
        <v>3.6106910000000001</v>
      </c>
      <c r="G20">
        <v>3.1745999999999999</v>
      </c>
      <c r="H20">
        <v>2.9471289999999999</v>
      </c>
      <c r="I20">
        <v>3.215967</v>
      </c>
      <c r="J20">
        <v>2.9460950000000001</v>
      </c>
      <c r="K20">
        <v>2.8024879999999999</v>
      </c>
      <c r="L20">
        <v>2.6257679999999999</v>
      </c>
      <c r="M20">
        <v>2.9826359999999998</v>
      </c>
      <c r="N20">
        <v>3.2701259999999999</v>
      </c>
      <c r="O20">
        <v>2.3160560000000001</v>
      </c>
      <c r="P20">
        <v>6.5771269999999999</v>
      </c>
      <c r="Q20">
        <v>4.5673329999999996</v>
      </c>
      <c r="R20">
        <v>6.3413490000000001</v>
      </c>
      <c r="S20">
        <v>4.3150599999999999</v>
      </c>
      <c r="T20">
        <v>6.3309369999999996</v>
      </c>
      <c r="U20">
        <v>4.8356830000000004</v>
      </c>
      <c r="V20">
        <v>3.2606600000000001</v>
      </c>
      <c r="W20">
        <v>3.4949970000000001</v>
      </c>
      <c r="X20">
        <v>4.6093380000000002</v>
      </c>
      <c r="Y20">
        <v>5.0839749999999997</v>
      </c>
      <c r="Z20">
        <v>4.8717439999999996</v>
      </c>
      <c r="AA20">
        <v>5.4825689999999998</v>
      </c>
      <c r="AB20">
        <v>4.8433661412320402E-5</v>
      </c>
      <c r="AC20">
        <v>1.90450408333333</v>
      </c>
    </row>
    <row r="21" spans="1:29" x14ac:dyDescent="0.3">
      <c r="A21" t="s">
        <v>78</v>
      </c>
      <c r="B21" t="s">
        <v>79</v>
      </c>
      <c r="C21" t="s">
        <v>19</v>
      </c>
      <c r="D21">
        <v>4.9051470000000004</v>
      </c>
      <c r="E21">
        <v>4.0514979999999996</v>
      </c>
      <c r="F21">
        <v>4.6036210000000004</v>
      </c>
      <c r="G21">
        <v>6.2535410000000002</v>
      </c>
      <c r="H21">
        <v>5.772519</v>
      </c>
      <c r="I21">
        <v>6.2152690000000002</v>
      </c>
      <c r="J21">
        <v>4.3547099999999999</v>
      </c>
      <c r="K21">
        <v>5.1587269999999998</v>
      </c>
      <c r="L21">
        <v>4.5972530000000003</v>
      </c>
      <c r="M21">
        <v>3.0706099999999998</v>
      </c>
      <c r="N21">
        <v>5.2326750000000004</v>
      </c>
      <c r="O21">
        <v>4.3951089999999997</v>
      </c>
      <c r="P21">
        <v>7.7217640000000003</v>
      </c>
      <c r="Q21">
        <v>6.567037</v>
      </c>
      <c r="R21">
        <v>7.3168920000000002</v>
      </c>
      <c r="S21">
        <v>6.7134010000000002</v>
      </c>
      <c r="T21">
        <v>7.224926</v>
      </c>
      <c r="U21">
        <v>7.249854</v>
      </c>
      <c r="V21">
        <v>5.341863</v>
      </c>
      <c r="W21">
        <v>6.3410529999999996</v>
      </c>
      <c r="X21">
        <v>6.2282710000000003</v>
      </c>
      <c r="Y21">
        <v>6.0641179999999997</v>
      </c>
      <c r="Z21">
        <v>6.8374980000000001</v>
      </c>
      <c r="AA21">
        <v>6.2105249999999996</v>
      </c>
      <c r="AB21">
        <v>1.3275742718582101E-4</v>
      </c>
      <c r="AC21">
        <v>1.76721025</v>
      </c>
    </row>
    <row r="22" spans="1:29" x14ac:dyDescent="0.3">
      <c r="A22" t="s">
        <v>80</v>
      </c>
      <c r="B22" t="s">
        <v>81</v>
      </c>
      <c r="C22" t="s">
        <v>19</v>
      </c>
      <c r="D22">
        <v>5.6522059999999996</v>
      </c>
      <c r="E22">
        <v>5.348725</v>
      </c>
      <c r="F22">
        <v>5.8882849999999998</v>
      </c>
      <c r="G22">
        <v>6.5729350000000002</v>
      </c>
      <c r="H22">
        <v>7.0730839999999997</v>
      </c>
      <c r="I22">
        <v>6.7313489999999998</v>
      </c>
      <c r="J22">
        <v>5.6688789999999996</v>
      </c>
      <c r="K22">
        <v>4.7557289999999997</v>
      </c>
      <c r="L22">
        <v>5.6407639999999999</v>
      </c>
      <c r="M22">
        <v>6.1333479999999998</v>
      </c>
      <c r="N22">
        <v>5.1070390000000003</v>
      </c>
      <c r="O22">
        <v>5.5280610000000001</v>
      </c>
      <c r="P22">
        <v>7.965382</v>
      </c>
      <c r="Q22">
        <v>7.8948799999999997</v>
      </c>
      <c r="R22">
        <v>8.8468260000000001</v>
      </c>
      <c r="S22">
        <v>7.9119479999999998</v>
      </c>
      <c r="T22">
        <v>7.6768369999999999</v>
      </c>
      <c r="U22">
        <v>8.6760370000000009</v>
      </c>
      <c r="V22">
        <v>6.0430169999999999</v>
      </c>
      <c r="W22">
        <v>6.2646439999999997</v>
      </c>
      <c r="X22">
        <v>6.771884</v>
      </c>
      <c r="Y22">
        <v>6.78817</v>
      </c>
      <c r="Z22">
        <v>7.538805</v>
      </c>
      <c r="AA22">
        <v>6.3919119999999996</v>
      </c>
      <c r="AB22">
        <v>7.0304818900713704E-4</v>
      </c>
      <c r="AC22">
        <v>1.55582816666667</v>
      </c>
    </row>
    <row r="23" spans="1:29" x14ac:dyDescent="0.3">
      <c r="A23" t="s">
        <v>82</v>
      </c>
      <c r="B23" t="s">
        <v>83</v>
      </c>
      <c r="C23" t="s">
        <v>19</v>
      </c>
      <c r="D23">
        <v>3.8191030000000001</v>
      </c>
      <c r="E23">
        <v>3.9464779999999999</v>
      </c>
      <c r="F23">
        <v>2.7357420000000001</v>
      </c>
      <c r="G23">
        <v>3.84</v>
      </c>
      <c r="H23">
        <v>3.2212100000000001</v>
      </c>
      <c r="I23">
        <v>4.0099179999999999</v>
      </c>
      <c r="J23">
        <v>2.2215289999999999</v>
      </c>
      <c r="K23">
        <v>2.8723230000000002</v>
      </c>
      <c r="L23">
        <v>2.8014990000000002</v>
      </c>
      <c r="M23">
        <v>2.5889519999999999</v>
      </c>
      <c r="N23">
        <v>2.6857760000000002</v>
      </c>
      <c r="O23">
        <v>2.7611789999999998</v>
      </c>
      <c r="P23">
        <v>6.8234969999999997</v>
      </c>
      <c r="Q23">
        <v>4.243563</v>
      </c>
      <c r="R23">
        <v>5.8966750000000001</v>
      </c>
      <c r="S23">
        <v>4.7937729999999998</v>
      </c>
      <c r="T23">
        <v>5.9481099999999998</v>
      </c>
      <c r="U23">
        <v>4.9442950000000003</v>
      </c>
      <c r="V23">
        <v>3.0817380000000001</v>
      </c>
      <c r="W23">
        <v>3.8575590000000002</v>
      </c>
      <c r="X23">
        <v>4.0153660000000002</v>
      </c>
      <c r="Y23">
        <v>4.0115080000000001</v>
      </c>
      <c r="Z23">
        <v>4.0372279999999998</v>
      </c>
      <c r="AA23">
        <v>3.437789</v>
      </c>
      <c r="AB23">
        <v>3.3840677797235901E-3</v>
      </c>
      <c r="AC23">
        <v>1.465616</v>
      </c>
    </row>
    <row r="24" spans="1:29" x14ac:dyDescent="0.3">
      <c r="A24" t="s">
        <v>84</v>
      </c>
      <c r="B24" t="s">
        <v>85</v>
      </c>
      <c r="C24" t="s">
        <v>19</v>
      </c>
      <c r="D24">
        <v>5.4743830000000004</v>
      </c>
      <c r="E24">
        <v>5.8007559999999998</v>
      </c>
      <c r="F24">
        <v>5.0472289999999997</v>
      </c>
      <c r="G24">
        <v>5.8028000000000004</v>
      </c>
      <c r="H24">
        <v>6.6871530000000003</v>
      </c>
      <c r="I24">
        <v>6.3667040000000004</v>
      </c>
      <c r="J24">
        <v>4.4921350000000002</v>
      </c>
      <c r="K24">
        <v>5.1813039999999999</v>
      </c>
      <c r="L24">
        <v>5.3912680000000002</v>
      </c>
      <c r="M24">
        <v>5.3552280000000003</v>
      </c>
      <c r="N24">
        <v>5.1252250000000004</v>
      </c>
      <c r="O24">
        <v>5.990386</v>
      </c>
      <c r="P24">
        <v>5.9399230000000003</v>
      </c>
      <c r="Q24">
        <v>6.3220489999999998</v>
      </c>
      <c r="R24">
        <v>6.6425299999999998</v>
      </c>
      <c r="S24">
        <v>7.7923650000000002</v>
      </c>
      <c r="T24">
        <v>8.1486040000000006</v>
      </c>
      <c r="U24">
        <v>7.9396719999999998</v>
      </c>
      <c r="V24">
        <v>7.4783629999999999</v>
      </c>
      <c r="W24">
        <v>6.946161</v>
      </c>
      <c r="X24">
        <v>6.5681450000000003</v>
      </c>
      <c r="Y24">
        <v>6.6743240000000004</v>
      </c>
      <c r="Z24">
        <v>6.567869</v>
      </c>
      <c r="AA24">
        <v>6.6279459999999997</v>
      </c>
      <c r="AB24">
        <v>2.28059849219856E-4</v>
      </c>
      <c r="AC24">
        <v>1.4111149999999999</v>
      </c>
    </row>
    <row r="25" spans="1:29" x14ac:dyDescent="0.3">
      <c r="A25" t="s">
        <v>86</v>
      </c>
      <c r="B25" t="s">
        <v>87</v>
      </c>
      <c r="C25" t="s">
        <v>19</v>
      </c>
      <c r="D25">
        <v>5.8003960000000001</v>
      </c>
      <c r="E25">
        <v>5.6407299999999996</v>
      </c>
      <c r="F25">
        <v>6.0703839999999998</v>
      </c>
      <c r="G25">
        <v>6.8699300000000001</v>
      </c>
      <c r="H25">
        <v>6.7011310000000002</v>
      </c>
      <c r="I25">
        <v>6.7141019999999996</v>
      </c>
      <c r="J25">
        <v>7.7360309999999997</v>
      </c>
      <c r="K25">
        <v>8.0066170000000003</v>
      </c>
      <c r="L25">
        <v>7.8237449999999997</v>
      </c>
      <c r="M25">
        <v>7.8087059999999999</v>
      </c>
      <c r="N25">
        <v>7.1137819999999996</v>
      </c>
      <c r="O25">
        <v>7.3903160000000003</v>
      </c>
      <c r="P25">
        <v>8.0564260000000001</v>
      </c>
      <c r="Q25">
        <v>7.3411499999999998</v>
      </c>
      <c r="R25">
        <v>8.1140939999999997</v>
      </c>
      <c r="S25">
        <v>7.5728340000000003</v>
      </c>
      <c r="T25">
        <v>7.6915009999999997</v>
      </c>
      <c r="U25">
        <v>7.8403520000000002</v>
      </c>
      <c r="V25">
        <v>8.0303970000000007</v>
      </c>
      <c r="W25">
        <v>8.5593710000000005</v>
      </c>
      <c r="X25">
        <v>8.707827</v>
      </c>
      <c r="Y25">
        <v>8.9958159999999996</v>
      </c>
      <c r="Z25">
        <v>9.4151939999999996</v>
      </c>
      <c r="AA25">
        <v>9.4453250000000004</v>
      </c>
      <c r="AB25">
        <v>1.7670505900860599E-3</v>
      </c>
      <c r="AC25">
        <v>1.3412014166666699</v>
      </c>
    </row>
    <row r="26" spans="1:29" x14ac:dyDescent="0.3">
      <c r="A26" t="s">
        <v>88</v>
      </c>
      <c r="B26" t="s">
        <v>89</v>
      </c>
      <c r="C26" t="s">
        <v>19</v>
      </c>
      <c r="D26">
        <v>2.823048</v>
      </c>
      <c r="E26">
        <v>3.5893839999999999</v>
      </c>
      <c r="F26">
        <v>3.4956839999999998</v>
      </c>
      <c r="G26">
        <v>3.51118</v>
      </c>
      <c r="H26">
        <v>3.6668980000000002</v>
      </c>
      <c r="I26">
        <v>3.6091030000000002</v>
      </c>
      <c r="J26">
        <v>1.8353189999999999</v>
      </c>
      <c r="K26">
        <v>2.4993409999999998</v>
      </c>
      <c r="L26">
        <v>2.6233059999999999</v>
      </c>
      <c r="M26">
        <v>2.5704289999999999</v>
      </c>
      <c r="N26">
        <v>2.5746869999999999</v>
      </c>
      <c r="O26">
        <v>2.2117559999999998</v>
      </c>
      <c r="P26">
        <v>3.6732610000000001</v>
      </c>
      <c r="Q26">
        <v>2.5578050000000001</v>
      </c>
      <c r="R26">
        <v>2.8519549999999998</v>
      </c>
      <c r="S26">
        <v>5.6736880000000003</v>
      </c>
      <c r="T26">
        <v>5.2296639999999996</v>
      </c>
      <c r="U26">
        <v>5.1594850000000001</v>
      </c>
      <c r="V26">
        <v>4.0309270000000001</v>
      </c>
      <c r="W26">
        <v>4.7773219999999998</v>
      </c>
      <c r="X26">
        <v>3.6864539999999999</v>
      </c>
      <c r="Y26">
        <v>4.0124219999999999</v>
      </c>
      <c r="Z26">
        <v>3.7031740000000002</v>
      </c>
      <c r="AA26">
        <v>2.6518109999999999</v>
      </c>
      <c r="AB26">
        <v>2.32376992544314E-2</v>
      </c>
      <c r="AC26">
        <v>1.08315275</v>
      </c>
    </row>
    <row r="27" spans="1:29" x14ac:dyDescent="0.3">
      <c r="A27" t="s">
        <v>90</v>
      </c>
      <c r="B27" t="s">
        <v>91</v>
      </c>
      <c r="C27" t="s">
        <v>19</v>
      </c>
      <c r="D27">
        <v>7.6277239999999997</v>
      </c>
      <c r="E27">
        <v>7.6222940000000001</v>
      </c>
      <c r="F27">
        <v>7.6700670000000004</v>
      </c>
      <c r="G27">
        <v>7.7408070000000002</v>
      </c>
      <c r="H27">
        <v>7.4220269999999999</v>
      </c>
      <c r="I27">
        <v>7.752008</v>
      </c>
      <c r="J27">
        <v>6.681165</v>
      </c>
      <c r="K27">
        <v>7.0419539999999996</v>
      </c>
      <c r="L27">
        <v>6.548813</v>
      </c>
      <c r="M27">
        <v>6.7972210000000004</v>
      </c>
      <c r="N27">
        <v>6.9313520000000004</v>
      </c>
      <c r="O27">
        <v>7.1458180000000002</v>
      </c>
      <c r="P27">
        <v>6.8410690000000001</v>
      </c>
      <c r="Q27">
        <v>8.5295079999999999</v>
      </c>
      <c r="R27">
        <v>8.0855949999999996</v>
      </c>
      <c r="S27">
        <v>8.4446919999999999</v>
      </c>
      <c r="T27">
        <v>8.8127420000000001</v>
      </c>
      <c r="U27">
        <v>8.4663170000000001</v>
      </c>
      <c r="V27">
        <v>8.8265630000000002</v>
      </c>
      <c r="W27">
        <v>8.2251320000000003</v>
      </c>
      <c r="X27">
        <v>7.9275719999999996</v>
      </c>
      <c r="Y27">
        <v>8.3971160000000005</v>
      </c>
      <c r="Z27">
        <v>8.1830979999999993</v>
      </c>
      <c r="AA27">
        <v>8.7054240000000007</v>
      </c>
      <c r="AB27">
        <v>5.1391863059161596E-4</v>
      </c>
      <c r="AC27">
        <v>1.0386314999999999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36A9-3785-4F1D-9E15-32C127A81588}">
  <dimension ref="A1:Q15"/>
  <sheetViews>
    <sheetView workbookViewId="0">
      <selection activeCell="D33" sqref="D33"/>
    </sheetView>
  </sheetViews>
  <sheetFormatPr defaultRowHeight="14.4" x14ac:dyDescent="0.3"/>
  <cols>
    <col min="1" max="1" width="13.88671875" bestFit="1" customWidth="1"/>
    <col min="2" max="2" width="20.5546875" bestFit="1" customWidth="1"/>
    <col min="3" max="3" width="11.6640625" bestFit="1" customWidth="1"/>
    <col min="4" max="17" width="12" bestFit="1" customWidth="1"/>
    <col min="18" max="18" width="8.88671875" customWidth="1"/>
  </cols>
  <sheetData>
    <row r="1" spans="1:17" x14ac:dyDescent="0.3">
      <c r="A1" t="s">
        <v>92</v>
      </c>
      <c r="B1" t="s">
        <v>1</v>
      </c>
      <c r="C1" t="s">
        <v>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28</v>
      </c>
      <c r="B2" t="s">
        <v>29</v>
      </c>
      <c r="C2" t="s">
        <v>19</v>
      </c>
      <c r="D2">
        <v>2</v>
      </c>
      <c r="E2">
        <v>2</v>
      </c>
      <c r="F2">
        <v>2</v>
      </c>
      <c r="G2">
        <v>2</v>
      </c>
      <c r="H2">
        <v>2</v>
      </c>
      <c r="I2">
        <v>2.2802158844896701</v>
      </c>
      <c r="J2">
        <v>3.4400064413410498</v>
      </c>
      <c r="K2">
        <v>3.11223541799002</v>
      </c>
      <c r="L2">
        <v>2.2545153577444799</v>
      </c>
      <c r="M2">
        <v>2.48137274935242</v>
      </c>
      <c r="N2">
        <v>2.9377718291955301</v>
      </c>
      <c r="O2">
        <v>3.8273305184401201</v>
      </c>
      <c r="P2">
        <v>9.7171378856925998E-3</v>
      </c>
      <c r="Q2">
        <v>3.7448662497295802</v>
      </c>
    </row>
    <row r="3" spans="1:17" x14ac:dyDescent="0.3">
      <c r="A3" t="s">
        <v>58</v>
      </c>
      <c r="B3" t="s">
        <v>59</v>
      </c>
      <c r="C3" t="s">
        <v>19</v>
      </c>
      <c r="D3">
        <v>4.9962841747657301</v>
      </c>
      <c r="E3">
        <v>4.40104857113006</v>
      </c>
      <c r="F3">
        <v>4.4042967821627999</v>
      </c>
      <c r="G3">
        <v>3.9362678452604598</v>
      </c>
      <c r="H3">
        <v>4.0794981379364099</v>
      </c>
      <c r="I3">
        <v>3.74766344580389</v>
      </c>
      <c r="J3">
        <v>6.6096377960107597</v>
      </c>
      <c r="K3">
        <v>7.7037473422039504</v>
      </c>
      <c r="L3">
        <v>6.5472309439710603</v>
      </c>
      <c r="M3">
        <v>6.3369591468694297</v>
      </c>
      <c r="N3">
        <v>6.4632334471984398</v>
      </c>
      <c r="O3">
        <v>7.8142601036271699</v>
      </c>
      <c r="P3">
        <v>1.09341664899741E-17</v>
      </c>
      <c r="Q3">
        <v>3.1679378080354499</v>
      </c>
    </row>
    <row r="4" spans="1:17" x14ac:dyDescent="0.3">
      <c r="A4" t="s">
        <v>17</v>
      </c>
      <c r="B4" t="s">
        <v>18</v>
      </c>
      <c r="C4" t="s">
        <v>19</v>
      </c>
      <c r="D4">
        <v>2</v>
      </c>
      <c r="E4">
        <v>3.1527618065068701</v>
      </c>
      <c r="F4">
        <v>2.2939450220727999</v>
      </c>
      <c r="G4">
        <v>3.3621248098817702</v>
      </c>
      <c r="H4">
        <v>3.55383279124985</v>
      </c>
      <c r="I4">
        <v>2.5147567090274201</v>
      </c>
      <c r="J4">
        <v>4.66221009661363</v>
      </c>
      <c r="K4">
        <v>5.9012668383430702</v>
      </c>
      <c r="L4">
        <v>4.1611875489761703</v>
      </c>
      <c r="M4">
        <v>4.4737405104664703</v>
      </c>
      <c r="N4">
        <v>4.3817292068201299</v>
      </c>
      <c r="O4">
        <v>6.2562469339405897</v>
      </c>
      <c r="P4">
        <v>7.7590843004105105E-6</v>
      </c>
      <c r="Q4">
        <v>3.0198379757418499</v>
      </c>
    </row>
    <row r="5" spans="1:17" x14ac:dyDescent="0.3">
      <c r="A5" t="s">
        <v>30</v>
      </c>
      <c r="B5" t="s">
        <v>31</v>
      </c>
      <c r="C5" t="s">
        <v>19</v>
      </c>
      <c r="D5">
        <v>3.73399370001566</v>
      </c>
      <c r="E5">
        <v>3.1527618065068701</v>
      </c>
      <c r="F5">
        <v>3.36844261027258</v>
      </c>
      <c r="G5">
        <v>2</v>
      </c>
      <c r="H5">
        <v>3.55383279124985</v>
      </c>
      <c r="I5">
        <v>2.2802158844896701</v>
      </c>
      <c r="J5">
        <v>5.2863580327640696</v>
      </c>
      <c r="K5">
        <v>5.4429872819842702</v>
      </c>
      <c r="L5">
        <v>4.0975750303464</v>
      </c>
      <c r="M5">
        <v>4.2517731633252804</v>
      </c>
      <c r="N5">
        <v>4.2210324989968298</v>
      </c>
      <c r="O5">
        <v>6.4368733973820804</v>
      </c>
      <c r="P5">
        <v>4.1660398797653298E-5</v>
      </c>
      <c r="Q5">
        <v>2.9612145157512999</v>
      </c>
    </row>
    <row r="6" spans="1:17" x14ac:dyDescent="0.3">
      <c r="A6" t="s">
        <v>26</v>
      </c>
      <c r="B6" t="s">
        <v>27</v>
      </c>
      <c r="C6" t="s">
        <v>19</v>
      </c>
      <c r="D6">
        <v>5.3653979596127099</v>
      </c>
      <c r="E6">
        <v>4.0209387893491302</v>
      </c>
      <c r="F6">
        <v>3.70481947532619</v>
      </c>
      <c r="G6">
        <v>3.6775709672577701</v>
      </c>
      <c r="H6">
        <v>3.75110997686861</v>
      </c>
      <c r="I6">
        <v>3.3222951439366302</v>
      </c>
      <c r="J6">
        <v>5.3947738421384601</v>
      </c>
      <c r="K6">
        <v>7.1795657455805797</v>
      </c>
      <c r="L6">
        <v>4.4429444256511497</v>
      </c>
      <c r="M6">
        <v>4.9510681654998896</v>
      </c>
      <c r="N6">
        <v>5.6480224333109499</v>
      </c>
      <c r="O6">
        <v>7.71827118018233</v>
      </c>
      <c r="P6">
        <v>1.0019742821011301E-3</v>
      </c>
      <c r="Q6">
        <v>2.78515983883756</v>
      </c>
    </row>
    <row r="7" spans="1:17" x14ac:dyDescent="0.3">
      <c r="A7" t="s">
        <v>60</v>
      </c>
      <c r="B7" t="s">
        <v>61</v>
      </c>
      <c r="C7" t="s">
        <v>19</v>
      </c>
      <c r="D7">
        <v>2</v>
      </c>
      <c r="E7">
        <v>2.26771380353851</v>
      </c>
      <c r="F7">
        <v>2.2939450220727999</v>
      </c>
      <c r="G7">
        <v>2.3941047195857399</v>
      </c>
      <c r="H7">
        <v>2.8956338597551099</v>
      </c>
      <c r="I7">
        <v>2</v>
      </c>
      <c r="J7">
        <v>3.79686858555444</v>
      </c>
      <c r="K7">
        <v>4.2262139598532604</v>
      </c>
      <c r="L7">
        <v>2.4707917980286198</v>
      </c>
      <c r="M7">
        <v>2.9928978701018298</v>
      </c>
      <c r="N7">
        <v>2.4501971893972798</v>
      </c>
      <c r="O7">
        <v>4.4401176762866896</v>
      </c>
      <c r="P7">
        <v>2.3666898312940901E-2</v>
      </c>
      <c r="Q7">
        <v>2.6512925466558599</v>
      </c>
    </row>
    <row r="8" spans="1:17" x14ac:dyDescent="0.3">
      <c r="A8" t="s">
        <v>42</v>
      </c>
      <c r="B8" t="s">
        <v>43</v>
      </c>
      <c r="C8" t="s">
        <v>19</v>
      </c>
      <c r="D8">
        <v>2</v>
      </c>
      <c r="E8">
        <v>3.9465734675475699</v>
      </c>
      <c r="F8">
        <v>3.6011703265158799</v>
      </c>
      <c r="G8">
        <v>3.52845233094834</v>
      </c>
      <c r="H8">
        <v>4.6730293078832403</v>
      </c>
      <c r="I8">
        <v>4.0757546989847198</v>
      </c>
      <c r="J8">
        <v>6.5167183063892198</v>
      </c>
      <c r="K8">
        <v>6.8521629236567199</v>
      </c>
      <c r="L8">
        <v>4.3908240981926498</v>
      </c>
      <c r="M8">
        <v>4.4213675623287099</v>
      </c>
      <c r="N8">
        <v>4.7781311201480499</v>
      </c>
      <c r="O8">
        <v>7.33289230097001</v>
      </c>
      <c r="P8">
        <v>2.5474058279146899E-3</v>
      </c>
      <c r="Q8">
        <v>2.6140610901983199</v>
      </c>
    </row>
    <row r="9" spans="1:17" x14ac:dyDescent="0.3">
      <c r="A9" t="s">
        <v>36</v>
      </c>
      <c r="B9" t="s">
        <v>37</v>
      </c>
      <c r="C9" t="s">
        <v>19</v>
      </c>
      <c r="D9">
        <v>4.9962841747657301</v>
      </c>
      <c r="E9">
        <v>4.2851275983406296</v>
      </c>
      <c r="F9">
        <v>3.6011703265158799</v>
      </c>
      <c r="G9">
        <v>4.0500733041288504</v>
      </c>
      <c r="H9">
        <v>4.4639473331594299</v>
      </c>
      <c r="I9">
        <v>3.8369417153714598</v>
      </c>
      <c r="J9">
        <v>6.2968296403145096</v>
      </c>
      <c r="K9">
        <v>6.7520498526920898</v>
      </c>
      <c r="L9">
        <v>4.6785628291480998</v>
      </c>
      <c r="M9">
        <v>5.1248893374799396</v>
      </c>
      <c r="N9">
        <v>5.4202149139436502</v>
      </c>
      <c r="O9">
        <v>7.3940018139510801</v>
      </c>
      <c r="P9">
        <v>1.0875324053910599E-5</v>
      </c>
      <c r="Q9">
        <v>2.3857779987346799</v>
      </c>
    </row>
    <row r="10" spans="1:17" x14ac:dyDescent="0.3">
      <c r="A10" t="s">
        <v>99</v>
      </c>
      <c r="B10" t="s">
        <v>100</v>
      </c>
      <c r="C10" t="s">
        <v>19</v>
      </c>
      <c r="D10">
        <v>2</v>
      </c>
      <c r="E10">
        <v>2.26771380353851</v>
      </c>
      <c r="F10">
        <v>3.4894941851175201</v>
      </c>
      <c r="G10">
        <v>2.3941047195857399</v>
      </c>
      <c r="H10">
        <v>2</v>
      </c>
      <c r="I10">
        <v>2.7164464244056599</v>
      </c>
      <c r="J10">
        <v>4.2068930489114198</v>
      </c>
      <c r="K10">
        <v>4.3950480713483602</v>
      </c>
      <c r="L10">
        <v>3.1094338523667</v>
      </c>
      <c r="M10">
        <v>3.3697655632761001</v>
      </c>
      <c r="N10">
        <v>2.79281701595042</v>
      </c>
      <c r="O10">
        <v>4.6703624187423696</v>
      </c>
      <c r="P10">
        <v>2.27506777407873E-2</v>
      </c>
      <c r="Q10">
        <v>2.2636105786302601</v>
      </c>
    </row>
    <row r="11" spans="1:17" x14ac:dyDescent="0.3">
      <c r="A11" t="s">
        <v>20</v>
      </c>
      <c r="B11" t="s">
        <v>21</v>
      </c>
      <c r="C11" t="s">
        <v>19</v>
      </c>
      <c r="D11">
        <v>3.73399370001566</v>
      </c>
      <c r="E11">
        <v>2.8604417294629698</v>
      </c>
      <c r="F11">
        <v>3.2362959617398999</v>
      </c>
      <c r="G11">
        <v>3.3621248098817702</v>
      </c>
      <c r="H11">
        <v>3.9246274745732599</v>
      </c>
      <c r="I11">
        <v>2.5147567090274201</v>
      </c>
      <c r="J11">
        <v>4.7868250337989302</v>
      </c>
      <c r="K11">
        <v>5.0962151215986102</v>
      </c>
      <c r="L11">
        <v>3.4522867349243</v>
      </c>
      <c r="M11">
        <v>3.98933365103438</v>
      </c>
      <c r="N11">
        <v>3.5013804976520699</v>
      </c>
      <c r="O11">
        <v>4.6082406377350997</v>
      </c>
      <c r="P11">
        <v>2.6339954982174899E-2</v>
      </c>
      <c r="Q11">
        <v>1.55636003007533</v>
      </c>
    </row>
    <row r="12" spans="1:17" x14ac:dyDescent="0.3">
      <c r="A12" t="s">
        <v>34</v>
      </c>
      <c r="B12" t="s">
        <v>35</v>
      </c>
      <c r="C12" t="s">
        <v>19</v>
      </c>
      <c r="D12">
        <v>3.73399370001566</v>
      </c>
      <c r="E12">
        <v>3.5033929027217301</v>
      </c>
      <c r="F12">
        <v>2.9289975304140499</v>
      </c>
      <c r="G12">
        <v>3.8127101835324901</v>
      </c>
      <c r="H12">
        <v>3.75110997686861</v>
      </c>
      <c r="I12">
        <v>3.6524937905374699</v>
      </c>
      <c r="J12">
        <v>4.9015267664567004</v>
      </c>
      <c r="K12">
        <v>5.0293566106152596</v>
      </c>
      <c r="L12">
        <v>3.96126178495475</v>
      </c>
      <c r="M12">
        <v>4.4213675623287099</v>
      </c>
      <c r="N12">
        <v>4.3301271900609803</v>
      </c>
      <c r="O12">
        <v>5.1777322644231401</v>
      </c>
      <c r="P12">
        <v>1.1910634135632299E-3</v>
      </c>
      <c r="Q12">
        <v>1.5053525212013199</v>
      </c>
    </row>
    <row r="13" spans="1:17" x14ac:dyDescent="0.3">
      <c r="A13" t="s">
        <v>72</v>
      </c>
      <c r="B13" t="s">
        <v>73</v>
      </c>
      <c r="C13" t="s">
        <v>19</v>
      </c>
      <c r="D13">
        <v>4.9962841747657301</v>
      </c>
      <c r="E13">
        <v>5.1289770078921002</v>
      </c>
      <c r="F13">
        <v>4.7815048415363801</v>
      </c>
      <c r="G13">
        <v>4.9838225483276597</v>
      </c>
      <c r="H13">
        <v>5.6070997354692498</v>
      </c>
      <c r="I13">
        <v>5.0880025869563896</v>
      </c>
      <c r="J13">
        <v>6.8284047364918896</v>
      </c>
      <c r="K13">
        <v>7.2025068870016904</v>
      </c>
      <c r="L13">
        <v>5.8585226948748597</v>
      </c>
      <c r="M13">
        <v>5.4464925369832997</v>
      </c>
      <c r="N13">
        <v>4.9244962718979899</v>
      </c>
      <c r="O13">
        <v>7.0174971153128496</v>
      </c>
      <c r="P13">
        <v>3.2548383015383801E-3</v>
      </c>
      <c r="Q13">
        <v>1.41657212645796</v>
      </c>
    </row>
    <row r="14" spans="1:17" x14ac:dyDescent="0.3">
      <c r="A14" t="s">
        <v>80</v>
      </c>
      <c r="B14" t="s">
        <v>81</v>
      </c>
      <c r="C14" t="s">
        <v>19</v>
      </c>
      <c r="D14">
        <v>7.2563910724523604</v>
      </c>
      <c r="E14">
        <v>5.8938572847229604</v>
      </c>
      <c r="F14">
        <v>5.9717025579798104</v>
      </c>
      <c r="G14">
        <v>5.9495202265169498</v>
      </c>
      <c r="H14">
        <v>5.7055333495467604</v>
      </c>
      <c r="I14">
        <v>5.4411279583029399</v>
      </c>
      <c r="J14">
        <v>7.36336416438456</v>
      </c>
      <c r="K14">
        <v>7.6875773521539603</v>
      </c>
      <c r="L14">
        <v>6.4099453793125196</v>
      </c>
      <c r="M14">
        <v>6.7832882352296497</v>
      </c>
      <c r="N14">
        <v>6.2849924776654102</v>
      </c>
      <c r="O14">
        <v>7.7794489226852299</v>
      </c>
      <c r="P14">
        <v>2.20440713750953E-3</v>
      </c>
      <c r="Q14">
        <v>1.2092101064668399</v>
      </c>
    </row>
    <row r="15" spans="1:17" x14ac:dyDescent="0.3">
      <c r="A15" t="s">
        <v>24</v>
      </c>
      <c r="B15" t="s">
        <v>25</v>
      </c>
      <c r="C15" t="s">
        <v>19</v>
      </c>
      <c r="D15">
        <v>6.1114751626697998</v>
      </c>
      <c r="E15">
        <v>4.7016068037963796</v>
      </c>
      <c r="F15">
        <v>5.0010153582085204</v>
      </c>
      <c r="G15">
        <v>4.9253666260357001</v>
      </c>
      <c r="H15">
        <v>4.4639473331594299</v>
      </c>
      <c r="I15">
        <v>4.6194219683547999</v>
      </c>
      <c r="J15">
        <v>4.9378199157455596</v>
      </c>
      <c r="K15">
        <v>6.4789544350237396</v>
      </c>
      <c r="L15">
        <v>5.3859571885872999</v>
      </c>
      <c r="M15">
        <v>5.1572747192981598</v>
      </c>
      <c r="N15">
        <v>5.4924115338255799</v>
      </c>
      <c r="O15">
        <v>7.1156560879449904</v>
      </c>
      <c r="P15">
        <v>3.3904779213553601E-2</v>
      </c>
      <c r="Q15">
        <v>1.18855783832747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B947-E597-4148-87E3-2A4998FF605D}">
  <dimension ref="A1:I33"/>
  <sheetViews>
    <sheetView workbookViewId="0">
      <selection activeCell="G41" sqref="G41"/>
    </sheetView>
  </sheetViews>
  <sheetFormatPr defaultRowHeight="14.4" x14ac:dyDescent="0.3"/>
  <cols>
    <col min="1" max="3" width="8.88671875" customWidth="1"/>
    <col min="4" max="4" width="16.6640625" customWidth="1"/>
    <col min="5" max="6" width="19.5546875" customWidth="1"/>
    <col min="7" max="7" width="22.21875" customWidth="1"/>
    <col min="8" max="8" width="18" customWidth="1"/>
    <col min="9" max="9" width="18.6640625" customWidth="1"/>
    <col min="10" max="10" width="8.88671875" customWidth="1"/>
  </cols>
  <sheetData>
    <row r="1" spans="1:9" x14ac:dyDescent="0.3">
      <c r="B1" t="s">
        <v>109</v>
      </c>
      <c r="C1" t="s">
        <v>110</v>
      </c>
      <c r="D1" t="s">
        <v>111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</row>
    <row r="2" spans="1:9" x14ac:dyDescent="0.3">
      <c r="A2" t="str">
        <f t="array" ref="A2:A33">_xlfn._xlws.SORT(_xlfn.UNIQUE(_xlfn.VSTACK('GSE35192'!A2:A15, 'GSE19496'!A2:A27, 'GSE248521'!A2:A15)))</f>
        <v>Ccl11</v>
      </c>
      <c r="B2">
        <f>IF(ISNUMBER(MATCH($A2, 'GSE35192'!$A:$A, 0)), 1, 0)</f>
        <v>0</v>
      </c>
      <c r="C2">
        <f>IF(ISNUMBER(MATCH($A2, 'GSE19496'!$A:$A, 0)), 1, 0)</f>
        <v>1</v>
      </c>
      <c r="D2">
        <f>IF(ISNUMBER(MATCH($A2, 'GSE248521'!$A:$A, 0)), 1, 0)</f>
        <v>0</v>
      </c>
      <c r="E2">
        <f t="shared" ref="E2:E33" si="0">SUM(B2:D2)</f>
        <v>1</v>
      </c>
      <c r="F2" t="str">
        <f t="shared" ref="F2:F33" si="1">_xlfn.TEXTJOIN("+", TRUE, IF(B2=1,"Sig1",""), IF(C2=1,"Sig2",""), IF(D2=1,"SigRNA-Seq",""))</f>
        <v>Sig2</v>
      </c>
      <c r="G2" t="str">
        <f>IFERROR(_xlfn.XLOOKUP($A2, 'GSE35192'!$A:$A, 'GSE35192'!$Q:$Q), "")</f>
        <v/>
      </c>
      <c r="H2">
        <f>IFERROR(_xlfn.XLOOKUP($A2, 'GSE19496'!$A:$A, 'GSE19496'!$AC:$AC), "")</f>
        <v>2.55216491666667</v>
      </c>
      <c r="I2" t="str">
        <f>IFERROR(_xlfn.XLOOKUP($A2, 'GSE248521'!$A:$A, 'GSE248521'!$Q:$Q), "")</f>
        <v/>
      </c>
    </row>
    <row r="3" spans="1:9" x14ac:dyDescent="0.3">
      <c r="A3" t="str">
        <v>Ccl12</v>
      </c>
      <c r="B3">
        <f>IF(ISNUMBER(MATCH($A3, 'GSE35192'!$A:$A, 0)), 1, 0)</f>
        <v>1</v>
      </c>
      <c r="C3">
        <f>IF(ISNUMBER(MATCH($A3, 'GSE19496'!$A:$A, 0)), 1, 0)</f>
        <v>1</v>
      </c>
      <c r="D3">
        <f>IF(ISNUMBER(MATCH($A3, 'GSE248521'!$A:$A, 0)), 1, 0)</f>
        <v>1</v>
      </c>
      <c r="E3">
        <f t="shared" si="0"/>
        <v>3</v>
      </c>
      <c r="F3" t="str">
        <f t="shared" si="1"/>
        <v>Sig1+Sig2+SigRNA-Seq</v>
      </c>
      <c r="G3">
        <f>IFERROR(_xlfn.XLOOKUP($A3, 'GSE35192'!$A:$A, 'GSE35192'!$Q:$Q), "")</f>
        <v>1.584975</v>
      </c>
      <c r="H3">
        <f>IFERROR(_xlfn.XLOOKUP($A3, 'GSE19496'!$A:$A, 'GSE19496'!$AC:$AC), "")</f>
        <v>3.07499375</v>
      </c>
      <c r="I3">
        <f>IFERROR(_xlfn.XLOOKUP($A3, 'GSE248521'!$A:$A, 'GSE248521'!$Q:$Q), "")</f>
        <v>2.9612145157512999</v>
      </c>
    </row>
    <row r="4" spans="1:9" x14ac:dyDescent="0.3">
      <c r="A4" t="str">
        <v>Ccl19</v>
      </c>
      <c r="B4">
        <f>IF(ISNUMBER(MATCH($A4, 'GSE35192'!$A:$A, 0)), 1, 0)</f>
        <v>0</v>
      </c>
      <c r="C4">
        <f>IF(ISNUMBER(MATCH($A4, 'GSE19496'!$A:$A, 0)), 1, 0)</f>
        <v>1</v>
      </c>
      <c r="D4">
        <f>IF(ISNUMBER(MATCH($A4, 'GSE248521'!$A:$A, 0)), 1, 0)</f>
        <v>0</v>
      </c>
      <c r="E4">
        <f t="shared" si="0"/>
        <v>1</v>
      </c>
      <c r="F4" t="str">
        <f t="shared" si="1"/>
        <v>Sig2</v>
      </c>
      <c r="G4" t="str">
        <f>IFERROR(_xlfn.XLOOKUP($A4, 'GSE35192'!$A:$A, 'GSE35192'!$Q:$Q), "")</f>
        <v/>
      </c>
      <c r="H4">
        <f>IFERROR(_xlfn.XLOOKUP($A4, 'GSE19496'!$A:$A, 'GSE19496'!$AC:$AC), "")</f>
        <v>3.51222383333333</v>
      </c>
      <c r="I4" t="str">
        <f>IFERROR(_xlfn.XLOOKUP($A4, 'GSE248521'!$A:$A, 'GSE248521'!$Q:$Q), "")</f>
        <v/>
      </c>
    </row>
    <row r="5" spans="1:9" x14ac:dyDescent="0.3">
      <c r="A5" t="str">
        <v>Ccl2</v>
      </c>
      <c r="B5">
        <f>IF(ISNUMBER(MATCH($A5, 'GSE35192'!$A:$A, 0)), 1, 0)</f>
        <v>1</v>
      </c>
      <c r="C5">
        <f>IF(ISNUMBER(MATCH($A5, 'GSE19496'!$A:$A, 0)), 1, 0)</f>
        <v>1</v>
      </c>
      <c r="D5">
        <f>IF(ISNUMBER(MATCH($A5, 'GSE248521'!$A:$A, 0)), 1, 0)</f>
        <v>1</v>
      </c>
      <c r="E5">
        <f t="shared" si="0"/>
        <v>3</v>
      </c>
      <c r="F5" t="str">
        <f t="shared" si="1"/>
        <v>Sig1+Sig2+SigRNA-Seq</v>
      </c>
      <c r="G5">
        <f>IFERROR(_xlfn.XLOOKUP($A5, 'GSE35192'!$A:$A, 'GSE35192'!$Q:$Q), "")</f>
        <v>1.08426333333333</v>
      </c>
      <c r="H5">
        <f>IFERROR(_xlfn.XLOOKUP($A5, 'GSE19496'!$A:$A, 'GSE19496'!$AC:$AC), "")</f>
        <v>6.2746062499999997</v>
      </c>
      <c r="I5">
        <f>IFERROR(_xlfn.XLOOKUP($A5, 'GSE248521'!$A:$A, 'GSE248521'!$Q:$Q), "")</f>
        <v>2.6140610901983199</v>
      </c>
    </row>
    <row r="6" spans="1:9" x14ac:dyDescent="0.3">
      <c r="A6" t="str">
        <v>Ccl3</v>
      </c>
      <c r="B6">
        <f>IF(ISNUMBER(MATCH($A6, 'GSE35192'!$A:$A, 0)), 1, 0)</f>
        <v>1</v>
      </c>
      <c r="C6">
        <f>IF(ISNUMBER(MATCH($A6, 'GSE19496'!$A:$A, 0)), 1, 0)</f>
        <v>1</v>
      </c>
      <c r="D6">
        <f>IF(ISNUMBER(MATCH($A6, 'GSE248521'!$A:$A, 0)), 1, 0)</f>
        <v>1</v>
      </c>
      <c r="E6">
        <f t="shared" si="0"/>
        <v>3</v>
      </c>
      <c r="F6" t="str">
        <f t="shared" si="1"/>
        <v>Sig1+Sig2+SigRNA-Seq</v>
      </c>
      <c r="G6">
        <f>IFERROR(_xlfn.XLOOKUP($A6, 'GSE35192'!$A:$A, 'GSE35192'!$Q:$Q), "")</f>
        <v>1.9853133333333299</v>
      </c>
      <c r="H6">
        <f>IFERROR(_xlfn.XLOOKUP($A6, 'GSE19496'!$A:$A, 'GSE19496'!$AC:$AC), "")</f>
        <v>4.7982430833333298</v>
      </c>
      <c r="I6">
        <f>IFERROR(_xlfn.XLOOKUP($A6, 'GSE248521'!$A:$A, 'GSE248521'!$Q:$Q), "")</f>
        <v>3.7448662497295802</v>
      </c>
    </row>
    <row r="7" spans="1:9" x14ac:dyDescent="0.3">
      <c r="A7" t="str">
        <v>Ccl4</v>
      </c>
      <c r="B7">
        <f>IF(ISNUMBER(MATCH($A7, 'GSE35192'!$A:$A, 0)), 1, 0)</f>
        <v>0</v>
      </c>
      <c r="C7">
        <f>IF(ISNUMBER(MATCH($A7, 'GSE19496'!$A:$A, 0)), 1, 0)</f>
        <v>1</v>
      </c>
      <c r="D7">
        <f>IF(ISNUMBER(MATCH($A7, 'GSE248521'!$A:$A, 0)), 1, 0)</f>
        <v>1</v>
      </c>
      <c r="E7">
        <f t="shared" si="0"/>
        <v>2</v>
      </c>
      <c r="F7" t="str">
        <f t="shared" si="1"/>
        <v>Sig2+SigRNA-Seq</v>
      </c>
      <c r="G7" t="str">
        <f>IFERROR(_xlfn.XLOOKUP($A7, 'GSE35192'!$A:$A, 'GSE35192'!$Q:$Q), "")</f>
        <v/>
      </c>
      <c r="H7">
        <f>IFERROR(_xlfn.XLOOKUP($A7, 'GSE19496'!$A:$A, 'GSE19496'!$AC:$AC), "")</f>
        <v>5.3961073333333403</v>
      </c>
      <c r="I7">
        <f>IFERROR(_xlfn.XLOOKUP($A7, 'GSE248521'!$A:$A, 'GSE248521'!$Q:$Q), "")</f>
        <v>2.6512925466558599</v>
      </c>
    </row>
    <row r="8" spans="1:9" x14ac:dyDescent="0.3">
      <c r="A8" t="str">
        <v>Ccl5</v>
      </c>
      <c r="B8">
        <f>IF(ISNUMBER(MATCH($A8, 'GSE35192'!$A:$A, 0)), 1, 0)</f>
        <v>0</v>
      </c>
      <c r="C8">
        <f>IF(ISNUMBER(MATCH($A8, 'GSE19496'!$A:$A, 0)), 1, 0)</f>
        <v>1</v>
      </c>
      <c r="D8">
        <f>IF(ISNUMBER(MATCH($A8, 'GSE248521'!$A:$A, 0)), 1, 0)</f>
        <v>1</v>
      </c>
      <c r="E8">
        <f t="shared" si="0"/>
        <v>2</v>
      </c>
      <c r="F8" t="str">
        <f t="shared" si="1"/>
        <v>Sig2+SigRNA-Seq</v>
      </c>
      <c r="G8" t="str">
        <f>IFERROR(_xlfn.XLOOKUP($A8, 'GSE35192'!$A:$A, 'GSE35192'!$Q:$Q), "")</f>
        <v/>
      </c>
      <c r="H8">
        <f>IFERROR(_xlfn.XLOOKUP($A8, 'GSE19496'!$A:$A, 'GSE19496'!$AC:$AC), "")</f>
        <v>5.99440975</v>
      </c>
      <c r="I8">
        <f>IFERROR(_xlfn.XLOOKUP($A8, 'GSE248521'!$A:$A, 'GSE248521'!$Q:$Q), "")</f>
        <v>3.1679378080354499</v>
      </c>
    </row>
    <row r="9" spans="1:9" x14ac:dyDescent="0.3">
      <c r="A9" t="str">
        <v>Ccl6</v>
      </c>
      <c r="B9">
        <f>IF(ISNUMBER(MATCH($A9, 'GSE35192'!$A:$A, 0)), 1, 0)</f>
        <v>0</v>
      </c>
      <c r="C9">
        <f>IF(ISNUMBER(MATCH($A9, 'GSE19496'!$A:$A, 0)), 1, 0)</f>
        <v>1</v>
      </c>
      <c r="D9">
        <f>IF(ISNUMBER(MATCH($A9, 'GSE248521'!$A:$A, 0)), 1, 0)</f>
        <v>1</v>
      </c>
      <c r="E9">
        <f t="shared" si="0"/>
        <v>2</v>
      </c>
      <c r="F9" t="str">
        <f t="shared" si="1"/>
        <v>Sig2+SigRNA-Seq</v>
      </c>
      <c r="G9" t="str">
        <f>IFERROR(_xlfn.XLOOKUP($A9, 'GSE35192'!$A:$A, 'GSE35192'!$Q:$Q), "")</f>
        <v/>
      </c>
      <c r="H9">
        <f>IFERROR(_xlfn.XLOOKUP($A9, 'GSE19496'!$A:$A, 'GSE19496'!$AC:$AC), "")</f>
        <v>1.55582816666667</v>
      </c>
      <c r="I9">
        <f>IFERROR(_xlfn.XLOOKUP($A9, 'GSE248521'!$A:$A, 'GSE248521'!$Q:$Q), "")</f>
        <v>1.2092101064668399</v>
      </c>
    </row>
    <row r="10" spans="1:9" x14ac:dyDescent="0.3">
      <c r="A10" t="str">
        <v>Ccl7</v>
      </c>
      <c r="B10">
        <f>IF(ISNUMBER(MATCH($A10, 'GSE35192'!$A:$A, 0)), 1, 0)</f>
        <v>1</v>
      </c>
      <c r="C10">
        <f>IF(ISNUMBER(MATCH($A10, 'GSE19496'!$A:$A, 0)), 1, 0)</f>
        <v>1</v>
      </c>
      <c r="D10">
        <f>IF(ISNUMBER(MATCH($A10, 'GSE248521'!$A:$A, 0)), 1, 0)</f>
        <v>1</v>
      </c>
      <c r="E10">
        <f t="shared" si="0"/>
        <v>3</v>
      </c>
      <c r="F10" t="str">
        <f t="shared" si="1"/>
        <v>Sig1+Sig2+SigRNA-Seq</v>
      </c>
      <c r="G10">
        <f>IFERROR(_xlfn.XLOOKUP($A10, 'GSE35192'!$A:$A, 'GSE35192'!$Q:$Q), "")</f>
        <v>1.1883550000000001</v>
      </c>
      <c r="H10">
        <f>IFERROR(_xlfn.XLOOKUP($A10, 'GSE19496'!$A:$A, 'GSE19496'!$AC:$AC), "")</f>
        <v>5.34522558333334</v>
      </c>
      <c r="I10">
        <f>IFERROR(_xlfn.XLOOKUP($A10, 'GSE248521'!$A:$A, 'GSE248521'!$Q:$Q), "")</f>
        <v>2.3857779987346799</v>
      </c>
    </row>
    <row r="11" spans="1:9" x14ac:dyDescent="0.3">
      <c r="A11" t="str">
        <v>Ccl8</v>
      </c>
      <c r="B11">
        <f>IF(ISNUMBER(MATCH($A11, 'GSE35192'!$A:$A, 0)), 1, 0)</f>
        <v>1</v>
      </c>
      <c r="C11">
        <f>IF(ISNUMBER(MATCH($A11, 'GSE19496'!$A:$A, 0)), 1, 0)</f>
        <v>1</v>
      </c>
      <c r="D11">
        <f>IF(ISNUMBER(MATCH($A11, 'GSE248521'!$A:$A, 0)), 1, 0)</f>
        <v>1</v>
      </c>
      <c r="E11">
        <f t="shared" si="0"/>
        <v>3</v>
      </c>
      <c r="F11" t="str">
        <f t="shared" si="1"/>
        <v>Sig1+Sig2+SigRNA-Seq</v>
      </c>
      <c r="G11">
        <f>IFERROR(_xlfn.XLOOKUP($A11, 'GSE35192'!$A:$A, 'GSE35192'!$Q:$Q), "")</f>
        <v>3.3031899999999998</v>
      </c>
      <c r="H11">
        <f>IFERROR(_xlfn.XLOOKUP($A11, 'GSE19496'!$A:$A, 'GSE19496'!$AC:$AC), "")</f>
        <v>3.14591025</v>
      </c>
      <c r="I11">
        <f>IFERROR(_xlfn.XLOOKUP($A11, 'GSE248521'!$A:$A, 'GSE248521'!$Q:$Q), "")</f>
        <v>3.0198379757418499</v>
      </c>
    </row>
    <row r="12" spans="1:9" x14ac:dyDescent="0.3">
      <c r="A12" t="str">
        <v>Ccl9</v>
      </c>
      <c r="B12">
        <f>IF(ISNUMBER(MATCH($A12, 'GSE35192'!$A:$A, 0)), 1, 0)</f>
        <v>0</v>
      </c>
      <c r="C12">
        <f>IF(ISNUMBER(MATCH($A12, 'GSE19496'!$A:$A, 0)), 1, 0)</f>
        <v>1</v>
      </c>
      <c r="D12">
        <f>IF(ISNUMBER(MATCH($A12, 'GSE248521'!$A:$A, 0)), 1, 0)</f>
        <v>1</v>
      </c>
      <c r="E12">
        <f t="shared" si="0"/>
        <v>2</v>
      </c>
      <c r="F12" t="str">
        <f t="shared" si="1"/>
        <v>Sig2+SigRNA-Seq</v>
      </c>
      <c r="G12" t="str">
        <f>IFERROR(_xlfn.XLOOKUP($A12, 'GSE35192'!$A:$A, 'GSE35192'!$Q:$Q), "")</f>
        <v/>
      </c>
      <c r="H12">
        <f>IFERROR(_xlfn.XLOOKUP($A12, 'GSE19496'!$A:$A, 'GSE19496'!$AC:$AC), "")</f>
        <v>2.1538789166666699</v>
      </c>
      <c r="I12">
        <f>IFERROR(_xlfn.XLOOKUP($A12, 'GSE248521'!$A:$A, 'GSE248521'!$Q:$Q), "")</f>
        <v>1.41657212645796</v>
      </c>
    </row>
    <row r="13" spans="1:9" x14ac:dyDescent="0.3">
      <c r="A13" t="str">
        <v>Ccr1</v>
      </c>
      <c r="B13">
        <f>IF(ISNUMBER(MATCH($A13, 'GSE35192'!$A:$A, 0)), 1, 0)</f>
        <v>0</v>
      </c>
      <c r="C13">
        <f>IF(ISNUMBER(MATCH($A13, 'GSE19496'!$A:$A, 0)), 1, 0)</f>
        <v>0</v>
      </c>
      <c r="D13">
        <f>IF(ISNUMBER(MATCH($A13, 'GSE248521'!$A:$A, 0)), 1, 0)</f>
        <v>1</v>
      </c>
      <c r="E13">
        <f t="shared" si="0"/>
        <v>1</v>
      </c>
      <c r="F13" t="str">
        <f t="shared" si="1"/>
        <v>SigRNA-Seq</v>
      </c>
      <c r="G13" t="str">
        <f>IFERROR(_xlfn.XLOOKUP($A13, 'GSE35192'!$A:$A, 'GSE35192'!$Q:$Q), "")</f>
        <v/>
      </c>
      <c r="H13" t="str">
        <f>IFERROR(_xlfn.XLOOKUP($A13, 'GSE19496'!$A:$A, 'GSE19496'!$AC:$AC), "")</f>
        <v/>
      </c>
      <c r="I13">
        <f>IFERROR(_xlfn.XLOOKUP($A13, 'GSE248521'!$A:$A, 'GSE248521'!$Q:$Q), "")</f>
        <v>2.2636105786302601</v>
      </c>
    </row>
    <row r="14" spans="1:9" x14ac:dyDescent="0.3">
      <c r="A14" t="str">
        <v>Ccr2</v>
      </c>
      <c r="B14">
        <f>IF(ISNUMBER(MATCH($A14, 'GSE35192'!$A:$A, 0)), 1, 0)</f>
        <v>1</v>
      </c>
      <c r="C14">
        <f>IF(ISNUMBER(MATCH($A14, 'GSE19496'!$A:$A, 0)), 1, 0)</f>
        <v>0</v>
      </c>
      <c r="D14">
        <f>IF(ISNUMBER(MATCH($A14, 'GSE248521'!$A:$A, 0)), 1, 0)</f>
        <v>1</v>
      </c>
      <c r="E14">
        <f t="shared" si="0"/>
        <v>2</v>
      </c>
      <c r="F14" t="str">
        <f t="shared" si="1"/>
        <v>Sig1+SigRNA-Seq</v>
      </c>
      <c r="G14">
        <f>IFERROR(_xlfn.XLOOKUP($A14, 'GSE35192'!$A:$A, 'GSE35192'!$Q:$Q), "")</f>
        <v>3.0004383333333302</v>
      </c>
      <c r="H14" t="str">
        <f>IFERROR(_xlfn.XLOOKUP($A14, 'GSE19496'!$A:$A, 'GSE19496'!$AC:$AC), "")</f>
        <v/>
      </c>
      <c r="I14">
        <f>IFERROR(_xlfn.XLOOKUP($A14, 'GSE248521'!$A:$A, 'GSE248521'!$Q:$Q), "")</f>
        <v>1.55636003007533</v>
      </c>
    </row>
    <row r="15" spans="1:9" x14ac:dyDescent="0.3">
      <c r="A15" t="str">
        <v>Ccr5</v>
      </c>
      <c r="B15">
        <f>IF(ISNUMBER(MATCH($A15, 'GSE35192'!$A:$A, 0)), 1, 0)</f>
        <v>1</v>
      </c>
      <c r="C15">
        <f>IF(ISNUMBER(MATCH($A15, 'GSE19496'!$A:$A, 0)), 1, 0)</f>
        <v>0</v>
      </c>
      <c r="D15">
        <f>IF(ISNUMBER(MATCH($A15, 'GSE248521'!$A:$A, 0)), 1, 0)</f>
        <v>0</v>
      </c>
      <c r="E15">
        <f t="shared" si="0"/>
        <v>1</v>
      </c>
      <c r="F15" t="str">
        <f t="shared" si="1"/>
        <v>Sig1</v>
      </c>
      <c r="G15">
        <f>IFERROR(_xlfn.XLOOKUP($A15, 'GSE35192'!$A:$A, 'GSE35192'!$Q:$Q), "")</f>
        <v>2.6353499999999999</v>
      </c>
      <c r="H15" t="str">
        <f>IFERROR(_xlfn.XLOOKUP($A15, 'GSE19496'!$A:$A, 'GSE19496'!$AC:$AC), "")</f>
        <v/>
      </c>
      <c r="I15" t="str">
        <f>IFERROR(_xlfn.XLOOKUP($A15, 'GSE248521'!$A:$A, 'GSE248521'!$Q:$Q), "")</f>
        <v/>
      </c>
    </row>
    <row r="16" spans="1:9" x14ac:dyDescent="0.3">
      <c r="A16" t="str">
        <v>Cxcl1</v>
      </c>
      <c r="B16">
        <f>IF(ISNUMBER(MATCH($A16, 'GSE35192'!$A:$A, 0)), 1, 0)</f>
        <v>0</v>
      </c>
      <c r="C16">
        <f>IF(ISNUMBER(MATCH($A16, 'GSE19496'!$A:$A, 0)), 1, 0)</f>
        <v>1</v>
      </c>
      <c r="D16">
        <f>IF(ISNUMBER(MATCH($A16, 'GSE248521'!$A:$A, 0)), 1, 0)</f>
        <v>0</v>
      </c>
      <c r="E16">
        <f t="shared" si="0"/>
        <v>1</v>
      </c>
      <c r="F16" t="str">
        <f t="shared" si="1"/>
        <v>Sig2</v>
      </c>
      <c r="G16" t="str">
        <f>IFERROR(_xlfn.XLOOKUP($A16, 'GSE35192'!$A:$A, 'GSE35192'!$Q:$Q), "")</f>
        <v/>
      </c>
      <c r="H16">
        <f>IFERROR(_xlfn.XLOOKUP($A16, 'GSE19496'!$A:$A, 'GSE19496'!$AC:$AC), "")</f>
        <v>3.4383952500000001</v>
      </c>
      <c r="I16" t="str">
        <f>IFERROR(_xlfn.XLOOKUP($A16, 'GSE248521'!$A:$A, 'GSE248521'!$Q:$Q), "")</f>
        <v/>
      </c>
    </row>
    <row r="17" spans="1:9" x14ac:dyDescent="0.3">
      <c r="A17" t="str">
        <v>Cxcl10</v>
      </c>
      <c r="B17">
        <f>IF(ISNUMBER(MATCH($A17, 'GSE35192'!$A:$A, 0)), 1, 0)</f>
        <v>1</v>
      </c>
      <c r="C17">
        <f>IF(ISNUMBER(MATCH($A17, 'GSE19496'!$A:$A, 0)), 1, 0)</f>
        <v>1</v>
      </c>
      <c r="D17">
        <f>IF(ISNUMBER(MATCH($A17, 'GSE248521'!$A:$A, 0)), 1, 0)</f>
        <v>1</v>
      </c>
      <c r="E17">
        <f t="shared" si="0"/>
        <v>3</v>
      </c>
      <c r="F17" t="str">
        <f t="shared" si="1"/>
        <v>Sig1+Sig2+SigRNA-Seq</v>
      </c>
      <c r="G17">
        <f>IFERROR(_xlfn.XLOOKUP($A17, 'GSE35192'!$A:$A, 'GSE35192'!$Q:$Q), "")</f>
        <v>2.4313616666666702</v>
      </c>
      <c r="H17">
        <f>IFERROR(_xlfn.XLOOKUP($A17, 'GSE19496'!$A:$A, 'GSE19496'!$AC:$AC), "")</f>
        <v>6.8113739999999998</v>
      </c>
      <c r="I17">
        <f>IFERROR(_xlfn.XLOOKUP($A17, 'GSE248521'!$A:$A, 'GSE248521'!$Q:$Q), "")</f>
        <v>2.78515983883756</v>
      </c>
    </row>
    <row r="18" spans="1:9" x14ac:dyDescent="0.3">
      <c r="A18" t="str">
        <v>Cxcl13</v>
      </c>
      <c r="B18">
        <f>IF(ISNUMBER(MATCH($A18, 'GSE35192'!$A:$A, 0)), 1, 0)</f>
        <v>0</v>
      </c>
      <c r="C18">
        <f>IF(ISNUMBER(MATCH($A18, 'GSE19496'!$A:$A, 0)), 1, 0)</f>
        <v>1</v>
      </c>
      <c r="D18">
        <f>IF(ISNUMBER(MATCH($A18, 'GSE248521'!$A:$A, 0)), 1, 0)</f>
        <v>0</v>
      </c>
      <c r="E18">
        <f t="shared" si="0"/>
        <v>1</v>
      </c>
      <c r="F18" t="str">
        <f t="shared" si="1"/>
        <v>Sig2</v>
      </c>
      <c r="G18" t="str">
        <f>IFERROR(_xlfn.XLOOKUP($A18, 'GSE35192'!$A:$A, 'GSE35192'!$Q:$Q), "")</f>
        <v/>
      </c>
      <c r="H18">
        <f>IFERROR(_xlfn.XLOOKUP($A18, 'GSE19496'!$A:$A, 'GSE19496'!$AC:$AC), "")</f>
        <v>3.9284114166666702</v>
      </c>
      <c r="I18" t="str">
        <f>IFERROR(_xlfn.XLOOKUP($A18, 'GSE248521'!$A:$A, 'GSE248521'!$Q:$Q), "")</f>
        <v/>
      </c>
    </row>
    <row r="19" spans="1:9" x14ac:dyDescent="0.3">
      <c r="A19" t="str">
        <v>Cxcl2</v>
      </c>
      <c r="B19">
        <f>IF(ISNUMBER(MATCH($A19, 'GSE35192'!$A:$A, 0)), 1, 0)</f>
        <v>0</v>
      </c>
      <c r="C19">
        <f>IF(ISNUMBER(MATCH($A19, 'GSE19496'!$A:$A, 0)), 1, 0)</f>
        <v>1</v>
      </c>
      <c r="D19">
        <f>IF(ISNUMBER(MATCH($A19, 'GSE248521'!$A:$A, 0)), 1, 0)</f>
        <v>0</v>
      </c>
      <c r="E19">
        <f t="shared" si="0"/>
        <v>1</v>
      </c>
      <c r="F19" t="str">
        <f t="shared" si="1"/>
        <v>Sig2</v>
      </c>
      <c r="G19" t="str">
        <f>IFERROR(_xlfn.XLOOKUP($A19, 'GSE35192'!$A:$A, 'GSE35192'!$Q:$Q), "")</f>
        <v/>
      </c>
      <c r="H19">
        <f>IFERROR(_xlfn.XLOOKUP($A19, 'GSE19496'!$A:$A, 'GSE19496'!$AC:$AC), "")</f>
        <v>1.465616</v>
      </c>
      <c r="I19" t="str">
        <f>IFERROR(_xlfn.XLOOKUP($A19, 'GSE248521'!$A:$A, 'GSE248521'!$Q:$Q), "")</f>
        <v/>
      </c>
    </row>
    <row r="20" spans="1:9" x14ac:dyDescent="0.3">
      <c r="A20" t="str">
        <v>Cxcl9</v>
      </c>
      <c r="B20">
        <f>IF(ISNUMBER(MATCH($A20, 'GSE35192'!$A:$A, 0)), 1, 0)</f>
        <v>1</v>
      </c>
      <c r="C20">
        <f>IF(ISNUMBER(MATCH($A20, 'GSE19496'!$A:$A, 0)), 1, 0)</f>
        <v>1</v>
      </c>
      <c r="D20">
        <f>IF(ISNUMBER(MATCH($A20, 'GSE248521'!$A:$A, 0)), 1, 0)</f>
        <v>1</v>
      </c>
      <c r="E20">
        <f t="shared" si="0"/>
        <v>3</v>
      </c>
      <c r="F20" t="str">
        <f t="shared" si="1"/>
        <v>Sig1+Sig2+SigRNA-Seq</v>
      </c>
      <c r="G20">
        <f>IFERROR(_xlfn.XLOOKUP($A20, 'GSE35192'!$A:$A, 'GSE35192'!$Q:$Q), "")</f>
        <v>2.5795650000000001</v>
      </c>
      <c r="H20">
        <f>IFERROR(_xlfn.XLOOKUP($A20, 'GSE19496'!$A:$A, 'GSE19496'!$AC:$AC), "")</f>
        <v>2.6724270833333299</v>
      </c>
      <c r="I20">
        <f>IFERROR(_xlfn.XLOOKUP($A20, 'GSE248521'!$A:$A, 'GSE248521'!$Q:$Q), "")</f>
        <v>1.18855783832747</v>
      </c>
    </row>
    <row r="21" spans="1:9" x14ac:dyDescent="0.3">
      <c r="A21" t="str">
        <v>Cxcr3</v>
      </c>
      <c r="B21">
        <f>IF(ISNUMBER(MATCH($A21, 'GSE35192'!$A:$A, 0)), 1, 0)</f>
        <v>1</v>
      </c>
      <c r="C21">
        <f>IF(ISNUMBER(MATCH($A21, 'GSE19496'!$A:$A, 0)), 1, 0)</f>
        <v>0</v>
      </c>
      <c r="D21">
        <f>IF(ISNUMBER(MATCH($A21, 'GSE248521'!$A:$A, 0)), 1, 0)</f>
        <v>0</v>
      </c>
      <c r="E21">
        <f t="shared" si="0"/>
        <v>1</v>
      </c>
      <c r="F21" t="str">
        <f t="shared" si="1"/>
        <v>Sig1</v>
      </c>
      <c r="G21">
        <f>IFERROR(_xlfn.XLOOKUP($A21, 'GSE35192'!$A:$A, 'GSE35192'!$Q:$Q), "")</f>
        <v>1.17061833333333</v>
      </c>
      <c r="H21" t="str">
        <f>IFERROR(_xlfn.XLOOKUP($A21, 'GSE19496'!$A:$A, 'GSE19496'!$AC:$AC), "")</f>
        <v/>
      </c>
      <c r="I21" t="str">
        <f>IFERROR(_xlfn.XLOOKUP($A21, 'GSE248521'!$A:$A, 'GSE248521'!$Q:$Q), "")</f>
        <v/>
      </c>
    </row>
    <row r="22" spans="1:9" x14ac:dyDescent="0.3">
      <c r="A22" t="str">
        <v>Il10ra</v>
      </c>
      <c r="B22">
        <f>IF(ISNUMBER(MATCH($A22, 'GSE35192'!$A:$A, 0)), 1, 0)</f>
        <v>1</v>
      </c>
      <c r="C22">
        <f>IF(ISNUMBER(MATCH($A22, 'GSE19496'!$A:$A, 0)), 1, 0)</f>
        <v>1</v>
      </c>
      <c r="D22">
        <f>IF(ISNUMBER(MATCH($A22, 'GSE248521'!$A:$A, 0)), 1, 0)</f>
        <v>1</v>
      </c>
      <c r="E22">
        <f t="shared" si="0"/>
        <v>3</v>
      </c>
      <c r="F22" t="str">
        <f t="shared" si="1"/>
        <v>Sig1+Sig2+SigRNA-Seq</v>
      </c>
      <c r="G22">
        <f>IFERROR(_xlfn.XLOOKUP($A22, 'GSE35192'!$A:$A, 'GSE35192'!$Q:$Q), "")</f>
        <v>1.2697716666666701</v>
      </c>
      <c r="H22">
        <f>IFERROR(_xlfn.XLOOKUP($A22, 'GSE19496'!$A:$A, 'GSE19496'!$AC:$AC), "")</f>
        <v>2.1447575833333299</v>
      </c>
      <c r="I22">
        <f>IFERROR(_xlfn.XLOOKUP($A22, 'GSE248521'!$A:$A, 'GSE248521'!$Q:$Q), "")</f>
        <v>1.5053525212013199</v>
      </c>
    </row>
    <row r="23" spans="1:9" x14ac:dyDescent="0.3">
      <c r="A23" t="str">
        <v>Il18</v>
      </c>
      <c r="B23">
        <f>IF(ISNUMBER(MATCH($A23, 'GSE35192'!$A:$A, 0)), 1, 0)</f>
        <v>0</v>
      </c>
      <c r="C23">
        <f>IF(ISNUMBER(MATCH($A23, 'GSE19496'!$A:$A, 0)), 1, 0)</f>
        <v>1</v>
      </c>
      <c r="D23">
        <f>IF(ISNUMBER(MATCH($A23, 'GSE248521'!$A:$A, 0)), 1, 0)</f>
        <v>0</v>
      </c>
      <c r="E23">
        <f t="shared" si="0"/>
        <v>1</v>
      </c>
      <c r="F23" t="str">
        <f t="shared" si="1"/>
        <v>Sig2</v>
      </c>
      <c r="G23" t="str">
        <f>IFERROR(_xlfn.XLOOKUP($A23, 'GSE35192'!$A:$A, 'GSE35192'!$Q:$Q), "")</f>
        <v/>
      </c>
      <c r="H23">
        <f>IFERROR(_xlfn.XLOOKUP($A23, 'GSE19496'!$A:$A, 'GSE19496'!$AC:$AC), "")</f>
        <v>2.09816641666667</v>
      </c>
      <c r="I23" t="str">
        <f>IFERROR(_xlfn.XLOOKUP($A23, 'GSE248521'!$A:$A, 'GSE248521'!$Q:$Q), "")</f>
        <v/>
      </c>
    </row>
    <row r="24" spans="1:9" x14ac:dyDescent="0.3">
      <c r="A24" t="str">
        <v>Il18rap</v>
      </c>
      <c r="B24">
        <f>IF(ISNUMBER(MATCH($A24, 'GSE35192'!$A:$A, 0)), 1, 0)</f>
        <v>1</v>
      </c>
      <c r="C24">
        <f>IF(ISNUMBER(MATCH($A24, 'GSE19496'!$A:$A, 0)), 1, 0)</f>
        <v>0</v>
      </c>
      <c r="D24">
        <f>IF(ISNUMBER(MATCH($A24, 'GSE248521'!$A:$A, 0)), 1, 0)</f>
        <v>0</v>
      </c>
      <c r="E24">
        <f t="shared" si="0"/>
        <v>1</v>
      </c>
      <c r="F24" t="str">
        <f t="shared" si="1"/>
        <v>Sig1</v>
      </c>
      <c r="G24">
        <f>IFERROR(_xlfn.XLOOKUP($A24, 'GSE35192'!$A:$A, 'GSE35192'!$Q:$Q), "")</f>
        <v>1.17442333333333</v>
      </c>
      <c r="H24" t="str">
        <f>IFERROR(_xlfn.XLOOKUP($A24, 'GSE19496'!$A:$A, 'GSE19496'!$AC:$AC), "")</f>
        <v/>
      </c>
      <c r="I24" t="str">
        <f>IFERROR(_xlfn.XLOOKUP($A24, 'GSE248521'!$A:$A, 'GSE248521'!$Q:$Q), "")</f>
        <v/>
      </c>
    </row>
    <row r="25" spans="1:9" x14ac:dyDescent="0.3">
      <c r="A25" t="str">
        <v>Il20rb</v>
      </c>
      <c r="B25">
        <f>IF(ISNUMBER(MATCH($A25, 'GSE35192'!$A:$A, 0)), 1, 0)</f>
        <v>0</v>
      </c>
      <c r="C25">
        <f>IF(ISNUMBER(MATCH($A25, 'GSE19496'!$A:$A, 0)), 1, 0)</f>
        <v>1</v>
      </c>
      <c r="D25">
        <f>IF(ISNUMBER(MATCH($A25, 'GSE248521'!$A:$A, 0)), 1, 0)</f>
        <v>0</v>
      </c>
      <c r="E25">
        <f t="shared" si="0"/>
        <v>1</v>
      </c>
      <c r="F25" t="str">
        <f t="shared" si="1"/>
        <v>Sig2</v>
      </c>
      <c r="G25" t="str">
        <f>IFERROR(_xlfn.XLOOKUP($A25, 'GSE35192'!$A:$A, 'GSE35192'!$Q:$Q), "")</f>
        <v/>
      </c>
      <c r="H25">
        <f>IFERROR(_xlfn.XLOOKUP($A25, 'GSE19496'!$A:$A, 'GSE19496'!$AC:$AC), "")</f>
        <v>1.76721025</v>
      </c>
      <c r="I25" t="str">
        <f>IFERROR(_xlfn.XLOOKUP($A25, 'GSE248521'!$A:$A, 'GSE248521'!$Q:$Q), "")</f>
        <v/>
      </c>
    </row>
    <row r="26" spans="1:9" x14ac:dyDescent="0.3">
      <c r="A26" t="str">
        <v>Il2rb</v>
      </c>
      <c r="B26">
        <f>IF(ISNUMBER(MATCH($A26, 'GSE35192'!$A:$A, 0)), 1, 0)</f>
        <v>1</v>
      </c>
      <c r="C26">
        <f>IF(ISNUMBER(MATCH($A26, 'GSE19496'!$A:$A, 0)), 1, 0)</f>
        <v>0</v>
      </c>
      <c r="D26">
        <f>IF(ISNUMBER(MATCH($A26, 'GSE248521'!$A:$A, 0)), 1, 0)</f>
        <v>0</v>
      </c>
      <c r="E26">
        <f t="shared" si="0"/>
        <v>1</v>
      </c>
      <c r="F26" t="str">
        <f t="shared" si="1"/>
        <v>Sig1</v>
      </c>
      <c r="G26">
        <f>IFERROR(_xlfn.XLOOKUP($A26, 'GSE35192'!$A:$A, 'GSE35192'!$Q:$Q), "")</f>
        <v>1.4550749999999999</v>
      </c>
      <c r="H26" t="str">
        <f>IFERROR(_xlfn.XLOOKUP($A26, 'GSE19496'!$A:$A, 'GSE19496'!$AC:$AC), "")</f>
        <v/>
      </c>
      <c r="I26" t="str">
        <f>IFERROR(_xlfn.XLOOKUP($A26, 'GSE248521'!$A:$A, 'GSE248521'!$Q:$Q), "")</f>
        <v/>
      </c>
    </row>
    <row r="27" spans="1:9" x14ac:dyDescent="0.3">
      <c r="A27" t="str">
        <v>Il2rg</v>
      </c>
      <c r="B27">
        <f>IF(ISNUMBER(MATCH($A27, 'GSE35192'!$A:$A, 0)), 1, 0)</f>
        <v>0</v>
      </c>
      <c r="C27">
        <f>IF(ISNUMBER(MATCH($A27, 'GSE19496'!$A:$A, 0)), 1, 0)</f>
        <v>1</v>
      </c>
      <c r="D27">
        <f>IF(ISNUMBER(MATCH($A27, 'GSE248521'!$A:$A, 0)), 1, 0)</f>
        <v>0</v>
      </c>
      <c r="E27">
        <f t="shared" si="0"/>
        <v>1</v>
      </c>
      <c r="F27" t="str">
        <f t="shared" si="1"/>
        <v>Sig2</v>
      </c>
      <c r="G27" t="str">
        <f>IFERROR(_xlfn.XLOOKUP($A27, 'GSE35192'!$A:$A, 'GSE35192'!$Q:$Q), "")</f>
        <v/>
      </c>
      <c r="H27">
        <f>IFERROR(_xlfn.XLOOKUP($A27, 'GSE19496'!$A:$A, 'GSE19496'!$AC:$AC), "")</f>
        <v>1.4111149999999999</v>
      </c>
      <c r="I27" t="str">
        <f>IFERROR(_xlfn.XLOOKUP($A27, 'GSE248521'!$A:$A, 'GSE248521'!$Q:$Q), "")</f>
        <v/>
      </c>
    </row>
    <row r="28" spans="1:9" x14ac:dyDescent="0.3">
      <c r="A28" t="str">
        <v>Il6</v>
      </c>
      <c r="B28">
        <f>IF(ISNUMBER(MATCH($A28, 'GSE35192'!$A:$A, 0)), 1, 0)</f>
        <v>0</v>
      </c>
      <c r="C28">
        <f>IF(ISNUMBER(MATCH($A28, 'GSE19496'!$A:$A, 0)), 1, 0)</f>
        <v>1</v>
      </c>
      <c r="D28">
        <f>IF(ISNUMBER(MATCH($A28, 'GSE248521'!$A:$A, 0)), 1, 0)</f>
        <v>0</v>
      </c>
      <c r="E28">
        <f t="shared" si="0"/>
        <v>1</v>
      </c>
      <c r="F28" t="str">
        <f t="shared" si="1"/>
        <v>Sig2</v>
      </c>
      <c r="G28" t="str">
        <f>IFERROR(_xlfn.XLOOKUP($A28, 'GSE35192'!$A:$A, 'GSE35192'!$Q:$Q), "")</f>
        <v/>
      </c>
      <c r="H28">
        <f>IFERROR(_xlfn.XLOOKUP($A28, 'GSE19496'!$A:$A, 'GSE19496'!$AC:$AC), "")</f>
        <v>1.90450408333333</v>
      </c>
      <c r="I28" t="str">
        <f>IFERROR(_xlfn.XLOOKUP($A28, 'GSE248521'!$A:$A, 'GSE248521'!$Q:$Q), "")</f>
        <v/>
      </c>
    </row>
    <row r="29" spans="1:9" x14ac:dyDescent="0.3">
      <c r="A29" t="str">
        <v>Tnf</v>
      </c>
      <c r="B29">
        <f>IF(ISNUMBER(MATCH($A29, 'GSE35192'!$A:$A, 0)), 1, 0)</f>
        <v>0</v>
      </c>
      <c r="C29">
        <f>IF(ISNUMBER(MATCH($A29, 'GSE19496'!$A:$A, 0)), 1, 0)</f>
        <v>1</v>
      </c>
      <c r="D29">
        <f>IF(ISNUMBER(MATCH($A29, 'GSE248521'!$A:$A, 0)), 1, 0)</f>
        <v>0</v>
      </c>
      <c r="E29">
        <f t="shared" si="0"/>
        <v>1</v>
      </c>
      <c r="F29" t="str">
        <f t="shared" si="1"/>
        <v>Sig2</v>
      </c>
      <c r="G29" t="str">
        <f>IFERROR(_xlfn.XLOOKUP($A29, 'GSE35192'!$A:$A, 'GSE35192'!$Q:$Q), "")</f>
        <v/>
      </c>
      <c r="H29">
        <f>IFERROR(_xlfn.XLOOKUP($A29, 'GSE19496'!$A:$A, 'GSE19496'!$AC:$AC), "")</f>
        <v>2.47834616666667</v>
      </c>
      <c r="I29" t="str">
        <f>IFERROR(_xlfn.XLOOKUP($A29, 'GSE248521'!$A:$A, 'GSE248521'!$Q:$Q), "")</f>
        <v/>
      </c>
    </row>
    <row r="30" spans="1:9" x14ac:dyDescent="0.3">
      <c r="A30" t="str">
        <v>Tnfrsf1a</v>
      </c>
      <c r="B30">
        <f>IF(ISNUMBER(MATCH($A30, 'GSE35192'!$A:$A, 0)), 1, 0)</f>
        <v>0</v>
      </c>
      <c r="C30">
        <f>IF(ISNUMBER(MATCH($A30, 'GSE19496'!$A:$A, 0)), 1, 0)</f>
        <v>1</v>
      </c>
      <c r="D30">
        <f>IF(ISNUMBER(MATCH($A30, 'GSE248521'!$A:$A, 0)), 1, 0)</f>
        <v>0</v>
      </c>
      <c r="E30">
        <f t="shared" si="0"/>
        <v>1</v>
      </c>
      <c r="F30" t="str">
        <f t="shared" si="1"/>
        <v>Sig2</v>
      </c>
      <c r="G30" t="str">
        <f>IFERROR(_xlfn.XLOOKUP($A30, 'GSE35192'!$A:$A, 'GSE35192'!$Q:$Q), "")</f>
        <v/>
      </c>
      <c r="H30">
        <f>IFERROR(_xlfn.XLOOKUP($A30, 'GSE19496'!$A:$A, 'GSE19496'!$AC:$AC), "")</f>
        <v>1.3412014166666699</v>
      </c>
      <c r="I30" t="str">
        <f>IFERROR(_xlfn.XLOOKUP($A30, 'GSE248521'!$A:$A, 'GSE248521'!$Q:$Q), "")</f>
        <v/>
      </c>
    </row>
    <row r="31" spans="1:9" x14ac:dyDescent="0.3">
      <c r="A31" t="str">
        <v>Tnfrsf1b</v>
      </c>
      <c r="B31">
        <f>IF(ISNUMBER(MATCH($A31, 'GSE35192'!$A:$A, 0)), 1, 0)</f>
        <v>1</v>
      </c>
      <c r="C31">
        <f>IF(ISNUMBER(MATCH($A31, 'GSE19496'!$A:$A, 0)), 1, 0)</f>
        <v>1</v>
      </c>
      <c r="D31">
        <f>IF(ISNUMBER(MATCH($A31, 'GSE248521'!$A:$A, 0)), 1, 0)</f>
        <v>0</v>
      </c>
      <c r="E31">
        <f t="shared" si="0"/>
        <v>2</v>
      </c>
      <c r="F31" t="str">
        <f t="shared" si="1"/>
        <v>Sig1+Sig2</v>
      </c>
      <c r="G31">
        <f>IFERROR(_xlfn.XLOOKUP($A31, 'GSE35192'!$A:$A, 'GSE35192'!$Q:$Q), "")</f>
        <v>1.04803</v>
      </c>
      <c r="H31">
        <f>IFERROR(_xlfn.XLOOKUP($A31, 'GSE19496'!$A:$A, 'GSE19496'!$AC:$AC), "")</f>
        <v>2.0645383333333398</v>
      </c>
      <c r="I31" t="str">
        <f>IFERROR(_xlfn.XLOOKUP($A31, 'GSE248521'!$A:$A, 'GSE248521'!$Q:$Q), "")</f>
        <v/>
      </c>
    </row>
    <row r="32" spans="1:9" x14ac:dyDescent="0.3">
      <c r="A32" t="str">
        <v>Tnfsf10</v>
      </c>
      <c r="B32">
        <f>IF(ISNUMBER(MATCH($A32, 'GSE35192'!$A:$A, 0)), 1, 0)</f>
        <v>0</v>
      </c>
      <c r="C32">
        <f>IF(ISNUMBER(MATCH($A32, 'GSE19496'!$A:$A, 0)), 1, 0)</f>
        <v>1</v>
      </c>
      <c r="D32">
        <f>IF(ISNUMBER(MATCH($A32, 'GSE248521'!$A:$A, 0)), 1, 0)</f>
        <v>0</v>
      </c>
      <c r="E32">
        <f t="shared" si="0"/>
        <v>1</v>
      </c>
      <c r="F32" t="str">
        <f t="shared" si="1"/>
        <v>Sig2</v>
      </c>
      <c r="G32" t="str">
        <f>IFERROR(_xlfn.XLOOKUP($A32, 'GSE35192'!$A:$A, 'GSE35192'!$Q:$Q), "")</f>
        <v/>
      </c>
      <c r="H32">
        <f>IFERROR(_xlfn.XLOOKUP($A32, 'GSE19496'!$A:$A, 'GSE19496'!$AC:$AC), "")</f>
        <v>1.0386314999999999</v>
      </c>
      <c r="I32" t="str">
        <f>IFERROR(_xlfn.XLOOKUP($A32, 'GSE248521'!$A:$A, 'GSE248521'!$Q:$Q), "")</f>
        <v/>
      </c>
    </row>
    <row r="33" spans="1:9" x14ac:dyDescent="0.3">
      <c r="A33" t="str">
        <v>Xcl1</v>
      </c>
      <c r="B33">
        <f>IF(ISNUMBER(MATCH($A33, 'GSE35192'!$A:$A, 0)), 1, 0)</f>
        <v>0</v>
      </c>
      <c r="C33">
        <f>IF(ISNUMBER(MATCH($A33, 'GSE19496'!$A:$A, 0)), 1, 0)</f>
        <v>1</v>
      </c>
      <c r="D33">
        <f>IF(ISNUMBER(MATCH($A33, 'GSE248521'!$A:$A, 0)), 1, 0)</f>
        <v>0</v>
      </c>
      <c r="E33">
        <f t="shared" si="0"/>
        <v>1</v>
      </c>
      <c r="F33" t="str">
        <f t="shared" si="1"/>
        <v>Sig2</v>
      </c>
      <c r="G33" t="str">
        <f>IFERROR(_xlfn.XLOOKUP($A33, 'GSE35192'!$A:$A, 'GSE35192'!$Q:$Q), "")</f>
        <v/>
      </c>
      <c r="H33">
        <f>IFERROR(_xlfn.XLOOKUP($A33, 'GSE19496'!$A:$A, 'GSE19496'!$AC:$AC), "")</f>
        <v>1.08315275</v>
      </c>
      <c r="I33" t="str">
        <f>IFERROR(_xlfn.XLOOKUP($A33, 'GSE248521'!$A:$A, 'GSE248521'!$Q:$Q), "")</f>
        <v/>
      </c>
    </row>
  </sheetData>
  <autoFilter ref="A1:I33" xr:uid="{96675CF9-5125-4933-A0E7-32AD60739A1D}"/>
  <pageMargins left="0.70000000000000007" right="0.70000000000000007" top="0.75" bottom="0.75" header="0.30000000000000004" footer="0.30000000000000004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7739-8F50-433A-A834-5F1C79ACAFF0}">
  <dimension ref="A1:K9"/>
  <sheetViews>
    <sheetView tabSelected="1" workbookViewId="0">
      <selection activeCell="F21" sqref="F21"/>
    </sheetView>
  </sheetViews>
  <sheetFormatPr defaultRowHeight="14.4" x14ac:dyDescent="0.3"/>
  <cols>
    <col min="1" max="4" width="8.88671875" customWidth="1"/>
    <col min="5" max="5" width="15.88671875" customWidth="1"/>
    <col min="6" max="7" width="19.33203125" customWidth="1"/>
    <col min="8" max="8" width="18.77734375" customWidth="1"/>
    <col min="9" max="10" width="26.6640625" customWidth="1"/>
    <col min="11" max="11" width="26.77734375" customWidth="1"/>
    <col min="12" max="12" width="8.88671875" customWidth="1"/>
  </cols>
  <sheetData>
    <row r="1" spans="1:11" x14ac:dyDescent="0.3">
      <c r="B1" t="s">
        <v>109</v>
      </c>
      <c r="C1" t="s">
        <v>110</v>
      </c>
      <c r="D1" t="s">
        <v>111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</row>
    <row r="2" spans="1:11" x14ac:dyDescent="0.3">
      <c r="A2" t="s">
        <v>26</v>
      </c>
      <c r="B2">
        <v>1</v>
      </c>
      <c r="C2">
        <v>1</v>
      </c>
      <c r="D2">
        <v>1</v>
      </c>
      <c r="E2">
        <v>3</v>
      </c>
      <c r="F2" t="s">
        <v>108</v>
      </c>
      <c r="G2">
        <v>2.4313616666666702</v>
      </c>
      <c r="H2">
        <v>6.8113739999999998</v>
      </c>
      <c r="I2">
        <v>2.78515983883756</v>
      </c>
      <c r="J2">
        <f t="shared" ref="J2:J9" si="0">AVERAGE(G2:I2)</f>
        <v>4.0092985018347429</v>
      </c>
      <c r="K2">
        <f t="shared" ref="K2:K9" si="1">_xlfn.STDEV.S(G2:I2)</f>
        <v>2.4331078088982041</v>
      </c>
    </row>
    <row r="3" spans="1:11" x14ac:dyDescent="0.3">
      <c r="A3" t="s">
        <v>28</v>
      </c>
      <c r="B3">
        <v>1</v>
      </c>
      <c r="C3">
        <v>1</v>
      </c>
      <c r="D3">
        <v>1</v>
      </c>
      <c r="E3">
        <v>3</v>
      </c>
      <c r="F3" t="s">
        <v>108</v>
      </c>
      <c r="G3">
        <v>1.9853133333333299</v>
      </c>
      <c r="H3">
        <v>4.7982430833333298</v>
      </c>
      <c r="I3">
        <v>3.7448662497295802</v>
      </c>
      <c r="J3">
        <f t="shared" si="0"/>
        <v>3.5094742221320794</v>
      </c>
      <c r="K3">
        <f t="shared" si="1"/>
        <v>1.4211616725767391</v>
      </c>
    </row>
    <row r="4" spans="1:11" x14ac:dyDescent="0.3">
      <c r="A4" t="s">
        <v>42</v>
      </c>
      <c r="B4">
        <v>1</v>
      </c>
      <c r="C4">
        <v>1</v>
      </c>
      <c r="D4">
        <v>1</v>
      </c>
      <c r="E4">
        <v>3</v>
      </c>
      <c r="F4" t="s">
        <v>108</v>
      </c>
      <c r="G4">
        <v>1.08426333333333</v>
      </c>
      <c r="H4">
        <v>6.2746062499999997</v>
      </c>
      <c r="I4">
        <v>2.6140610901983199</v>
      </c>
      <c r="J4">
        <f t="shared" si="0"/>
        <v>3.3243102245105498</v>
      </c>
      <c r="K4">
        <f t="shared" si="1"/>
        <v>2.6670686666715988</v>
      </c>
    </row>
    <row r="5" spans="1:11" x14ac:dyDescent="0.3">
      <c r="A5" t="s">
        <v>17</v>
      </c>
      <c r="B5">
        <v>1</v>
      </c>
      <c r="C5">
        <v>1</v>
      </c>
      <c r="D5">
        <v>1</v>
      </c>
      <c r="E5">
        <v>3</v>
      </c>
      <c r="F5" t="s">
        <v>108</v>
      </c>
      <c r="G5">
        <v>3.3031899999999998</v>
      </c>
      <c r="H5">
        <v>3.14591025</v>
      </c>
      <c r="I5">
        <v>3.0198379757418499</v>
      </c>
      <c r="J5">
        <f t="shared" si="0"/>
        <v>3.1563127419139501</v>
      </c>
      <c r="K5">
        <f t="shared" si="1"/>
        <v>0.14196214738905807</v>
      </c>
    </row>
    <row r="6" spans="1:11" x14ac:dyDescent="0.3">
      <c r="A6" t="s">
        <v>36</v>
      </c>
      <c r="B6">
        <v>1</v>
      </c>
      <c r="C6">
        <v>1</v>
      </c>
      <c r="D6">
        <v>1</v>
      </c>
      <c r="E6">
        <v>3</v>
      </c>
      <c r="F6" t="s">
        <v>108</v>
      </c>
      <c r="G6">
        <v>1.1883550000000001</v>
      </c>
      <c r="H6">
        <v>5.34522558333334</v>
      </c>
      <c r="I6">
        <v>2.3857779987346799</v>
      </c>
      <c r="J6">
        <f t="shared" si="0"/>
        <v>2.9731195273560065</v>
      </c>
      <c r="K6">
        <f t="shared" si="1"/>
        <v>2.1397712062456451</v>
      </c>
    </row>
    <row r="7" spans="1:11" x14ac:dyDescent="0.3">
      <c r="A7" t="s">
        <v>30</v>
      </c>
      <c r="B7">
        <v>1</v>
      </c>
      <c r="C7">
        <v>1</v>
      </c>
      <c r="D7">
        <v>1</v>
      </c>
      <c r="E7">
        <v>3</v>
      </c>
      <c r="F7" t="s">
        <v>108</v>
      </c>
      <c r="G7">
        <v>1.584975</v>
      </c>
      <c r="H7">
        <v>3.07499375</v>
      </c>
      <c r="I7">
        <v>2.9612145157512999</v>
      </c>
      <c r="J7">
        <f t="shared" si="0"/>
        <v>2.5403944219171</v>
      </c>
      <c r="K7">
        <f t="shared" si="1"/>
        <v>0.82937092568335125</v>
      </c>
    </row>
    <row r="8" spans="1:11" x14ac:dyDescent="0.3">
      <c r="A8" t="s">
        <v>24</v>
      </c>
      <c r="B8">
        <v>1</v>
      </c>
      <c r="C8">
        <v>1</v>
      </c>
      <c r="D8">
        <v>1</v>
      </c>
      <c r="E8">
        <v>3</v>
      </c>
      <c r="F8" t="s">
        <v>108</v>
      </c>
      <c r="G8">
        <v>2.5795650000000001</v>
      </c>
      <c r="H8">
        <v>2.6724270833333299</v>
      </c>
      <c r="I8">
        <v>1.18855783832747</v>
      </c>
      <c r="J8">
        <f t="shared" si="0"/>
        <v>2.1468499738869333</v>
      </c>
      <c r="K8">
        <f t="shared" si="1"/>
        <v>0.83120316676284922</v>
      </c>
    </row>
    <row r="9" spans="1:11" x14ac:dyDescent="0.3">
      <c r="A9" t="s">
        <v>34</v>
      </c>
      <c r="B9">
        <v>1</v>
      </c>
      <c r="C9">
        <v>1</v>
      </c>
      <c r="D9">
        <v>1</v>
      </c>
      <c r="E9">
        <v>3</v>
      </c>
      <c r="F9" t="s">
        <v>108</v>
      </c>
      <c r="G9">
        <v>1.2697716666666701</v>
      </c>
      <c r="H9">
        <v>2.1447575833333299</v>
      </c>
      <c r="I9">
        <v>1.5053525212013199</v>
      </c>
      <c r="J9">
        <f t="shared" si="0"/>
        <v>1.63996059040044</v>
      </c>
      <c r="K9">
        <f t="shared" si="1"/>
        <v>0.45275775842207805</v>
      </c>
    </row>
  </sheetData>
  <autoFilter ref="A1:K9" xr:uid="{BB51199D-50C0-4474-8BC1-5639294D7B34}">
    <sortState xmlns:xlrd2="http://schemas.microsoft.com/office/spreadsheetml/2017/richdata2" ref="A3:K9">
      <sortCondition descending="1" ref="J2:J9"/>
      <sortCondition ref="K2:K9"/>
    </sortState>
  </autoFilter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GSE35192</vt:lpstr>
      <vt:lpstr>GSE19496</vt:lpstr>
      <vt:lpstr>GSE248521</vt:lpstr>
      <vt:lpstr>Combined_Sheets</vt:lpstr>
      <vt:lpstr>All_shared_genes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Denby-Lee</dc:creator>
  <cp:lastModifiedBy>Theo Denby-Lee</cp:lastModifiedBy>
  <dcterms:created xsi:type="dcterms:W3CDTF">2026-09-28T19:21:31Z</dcterms:created>
  <dcterms:modified xsi:type="dcterms:W3CDTF">2026-10-01T19:53:07Z</dcterms:modified>
</cp:coreProperties>
</file>