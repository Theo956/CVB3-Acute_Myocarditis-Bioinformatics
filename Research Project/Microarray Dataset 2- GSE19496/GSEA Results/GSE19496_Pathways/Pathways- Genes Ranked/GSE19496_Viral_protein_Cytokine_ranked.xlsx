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14e28dbb05754/Desktop/Research Project/Microarray Dataset 2/GSEA Results/Pathways Ranked genes/"/>
    </mc:Choice>
  </mc:AlternateContent>
  <xr:revisionPtr revIDLastSave="0" documentId="8_{69BBAA6C-78FE-465C-91B2-10529C74A331}" xr6:coauthVersionLast="47" xr6:coauthVersionMax="47" xr10:uidLastSave="{00000000-0000-0000-0000-000000000000}"/>
  <bookViews>
    <workbookView xWindow="-108" yWindow="-108" windowWidth="23256" windowHeight="14616" activeTab="2" xr2:uid="{88AD284E-F56E-43C6-BA44-88288EF4ED0F}"/>
  </bookViews>
  <sheets>
    <sheet name="DEG" sheetId="2" r:id="rId1"/>
    <sheet name="Viral_protein_interaction_with_" sheetId="1" r:id="rId2"/>
    <sheet name="Significant" sheetId="3" r:id="rId3"/>
  </sheets>
  <definedNames>
    <definedName name="_xlnm._FilterDatabase" localSheetId="1" hidden="1">Viral_protein_interaction_with_!$A$1:$AC$80</definedName>
  </definedNames>
  <calcPr calcId="0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2" i="1"/>
</calcChain>
</file>

<file path=xl/sharedStrings.xml><?xml version="1.0" encoding="utf-8"?>
<sst xmlns="http://schemas.openxmlformats.org/spreadsheetml/2006/main" count="3322" uniqueCount="2964">
  <si>
    <t>Ensembl_ID</t>
  </si>
  <si>
    <t>Regulation</t>
  </si>
  <si>
    <t>PBS_1</t>
  </si>
  <si>
    <t>PBS_2</t>
  </si>
  <si>
    <t>PBS_3</t>
  </si>
  <si>
    <t>PBS_4</t>
  </si>
  <si>
    <t>PBS_5</t>
  </si>
  <si>
    <t>PBS_6</t>
  </si>
  <si>
    <t>PBS_7</t>
  </si>
  <si>
    <t>PBS_8</t>
  </si>
  <si>
    <t>PBS_9</t>
  </si>
  <si>
    <t>PBS_10</t>
  </si>
  <si>
    <t>PBS_11</t>
  </si>
  <si>
    <t>PBS_12</t>
  </si>
  <si>
    <t>CVB3_1</t>
  </si>
  <si>
    <t>CVB3_2</t>
  </si>
  <si>
    <t>CVB3_3</t>
  </si>
  <si>
    <t>CVB3_4</t>
  </si>
  <si>
    <t>CVB3_5</t>
  </si>
  <si>
    <t>CVB3_6</t>
  </si>
  <si>
    <t>CVB3_7</t>
  </si>
  <si>
    <t>CVB3_8</t>
  </si>
  <si>
    <t>CVB3_9</t>
  </si>
  <si>
    <t>CVB3_10</t>
  </si>
  <si>
    <t>CVB3_11</t>
  </si>
  <si>
    <t>CVB3_12</t>
  </si>
  <si>
    <t>Ccl3</t>
  </si>
  <si>
    <t>ENSMUSG00000000982</t>
  </si>
  <si>
    <t>Up</t>
  </si>
  <si>
    <t>Ccl24</t>
  </si>
  <si>
    <t>ENSMUSG00000004814</t>
  </si>
  <si>
    <t>Down</t>
  </si>
  <si>
    <t>Tnfsf14</t>
  </si>
  <si>
    <t>ENSMUSG00000005824</t>
  </si>
  <si>
    <t>None</t>
  </si>
  <si>
    <t>Ccl8</t>
  </si>
  <si>
    <t>ENSMUSG00000009185</t>
  </si>
  <si>
    <t>Csf1</t>
  </si>
  <si>
    <t>ENSMUSG00000014599</t>
  </si>
  <si>
    <t>Il19</t>
  </si>
  <si>
    <t>ENSMUSG00000016524</t>
  </si>
  <si>
    <t>Il10</t>
  </si>
  <si>
    <t>ENSMUSG00000016529</t>
  </si>
  <si>
    <t>Ccl6</t>
  </si>
  <si>
    <t>ENSMUSG00000018927</t>
  </si>
  <si>
    <t>Ccl4</t>
  </si>
  <si>
    <t>ENSMUSG00000018930</t>
  </si>
  <si>
    <t>Ccl9</t>
  </si>
  <si>
    <t>ENSMUSG00000019122</t>
  </si>
  <si>
    <t>Il20ra</t>
  </si>
  <si>
    <t>ENSMUSG00000020007</t>
  </si>
  <si>
    <t>Ccl11</t>
  </si>
  <si>
    <t>ENSMUSG00000020676</t>
  </si>
  <si>
    <t>Ccl1</t>
  </si>
  <si>
    <t>ENSMUSG00000020702</t>
  </si>
  <si>
    <t>Cxcl14</t>
  </si>
  <si>
    <t>ENSMUSG00000021508</t>
  </si>
  <si>
    <t>Il6st</t>
  </si>
  <si>
    <t>ENSMUSG00000021756</t>
  </si>
  <si>
    <t>Tnfrsf10b</t>
  </si>
  <si>
    <t>ENSMUSG00000022074</t>
  </si>
  <si>
    <t>Cxcl13</t>
  </si>
  <si>
    <t>ENSMUSG00000023078</t>
  </si>
  <si>
    <t>Tnf</t>
  </si>
  <si>
    <t>ENSMUSG00000024401</t>
  </si>
  <si>
    <t>Lta</t>
  </si>
  <si>
    <t>ENSMUSG00000024402</t>
  </si>
  <si>
    <t>Csf1r</t>
  </si>
  <si>
    <t>ENSMUSG00000024621</t>
  </si>
  <si>
    <t>Il6</t>
  </si>
  <si>
    <t>ENSMUSG00000025746</t>
  </si>
  <si>
    <t>Ccr1</t>
  </si>
  <si>
    <t>ENSMUSG00000025804</t>
  </si>
  <si>
    <t>Il18rap</t>
  </si>
  <si>
    <t>ENSMUSG00000026068</t>
  </si>
  <si>
    <t>Il18r1</t>
  </si>
  <si>
    <t>ENSMUSG00000026070</t>
  </si>
  <si>
    <t>Ccl20</t>
  </si>
  <si>
    <t>ENSMUSG00000026166</t>
  </si>
  <si>
    <t>Cxcr2</t>
  </si>
  <si>
    <t>ENSMUSG00000026180</t>
  </si>
  <si>
    <t>Il20</t>
  </si>
  <si>
    <t>ENSMUSG00000026416</t>
  </si>
  <si>
    <t>Xcl1</t>
  </si>
  <si>
    <t>ENSMUSG00000026573</t>
  </si>
  <si>
    <t>Il2ra</t>
  </si>
  <si>
    <t>ENSMUSG00000026770</t>
  </si>
  <si>
    <t>Il2</t>
  </si>
  <si>
    <t>ENSMUSG00000027720</t>
  </si>
  <si>
    <t>Il6ra</t>
  </si>
  <si>
    <t>ENSMUSG00000027947</t>
  </si>
  <si>
    <t>Tnfrsf1b</t>
  </si>
  <si>
    <t>ENSMUSG00000028599</t>
  </si>
  <si>
    <t>Ppbp</t>
  </si>
  <si>
    <t>ENSMUSG00000029372</t>
  </si>
  <si>
    <t>Pf4</t>
  </si>
  <si>
    <t>ENSMUSG00000029373</t>
  </si>
  <si>
    <t>Cxcl3</t>
  </si>
  <si>
    <t>ENSMUSG00000029379</t>
  </si>
  <si>
    <t>Cxcl1</t>
  </si>
  <si>
    <t>ENSMUSG00000029380</t>
  </si>
  <si>
    <t>Cxcl9</t>
  </si>
  <si>
    <t>ENSMUSG00000029417</t>
  </si>
  <si>
    <t>Ccr9</t>
  </si>
  <si>
    <t>ENSMUSG00000029530</t>
  </si>
  <si>
    <t>Ltbr</t>
  </si>
  <si>
    <t>ENSMUSG00000030339</t>
  </si>
  <si>
    <t>Tnfrsf1a</t>
  </si>
  <si>
    <t>ENSMUSG00000030341</t>
  </si>
  <si>
    <t>Il2rg</t>
  </si>
  <si>
    <t>ENSMUSG00000031304</t>
  </si>
  <si>
    <t>Il34</t>
  </si>
  <si>
    <t>ENSMUSG00000031750</t>
  </si>
  <si>
    <t>Cx3cl1</t>
  </si>
  <si>
    <t>ENSMUSG00000031778</t>
  </si>
  <si>
    <t>Ccl22</t>
  </si>
  <si>
    <t>ENSMUSG00000031779</t>
  </si>
  <si>
    <t>Ccl17</t>
  </si>
  <si>
    <t>ENSMUSG00000031780</t>
  </si>
  <si>
    <t>Il10ra</t>
  </si>
  <si>
    <t>ENSMUSG00000032089</t>
  </si>
  <si>
    <t>Cxcl10</t>
  </si>
  <si>
    <t>ENSMUSG00000034855</t>
  </si>
  <si>
    <t>Ccl5</t>
  </si>
  <si>
    <t>ENSMUSG00000035042</t>
  </si>
  <si>
    <t>Ccl12</t>
  </si>
  <si>
    <t>ENSMUSG00000035352</t>
  </si>
  <si>
    <t>Ccl7</t>
  </si>
  <si>
    <t>ENSMUSG00000035373</t>
  </si>
  <si>
    <t>Ccl2</t>
  </si>
  <si>
    <t>ENSMUSG00000035385</t>
  </si>
  <si>
    <t>Ccr3</t>
  </si>
  <si>
    <t>ENSMUSG00000035448</t>
  </si>
  <si>
    <t>Il22ra1</t>
  </si>
  <si>
    <t>ENSMUSG00000037157</t>
  </si>
  <si>
    <t>Ccr7</t>
  </si>
  <si>
    <t>ENSMUSG00000037944</t>
  </si>
  <si>
    <t>Il18</t>
  </si>
  <si>
    <t>ENSMUSG00000039217</t>
  </si>
  <si>
    <t>Tnfsf10</t>
  </si>
  <si>
    <t>ENSMUSG00000039304</t>
  </si>
  <si>
    <t>Ccr6</t>
  </si>
  <si>
    <t>ENSMUSG00000040899</t>
  </si>
  <si>
    <t>Ccr8</t>
  </si>
  <si>
    <t>ENSMUSG00000042262</t>
  </si>
  <si>
    <t>Tnfrsf14</t>
  </si>
  <si>
    <t>ENSMUSG00000042333</t>
  </si>
  <si>
    <t>Ccr10</t>
  </si>
  <si>
    <t>ENSMUSG00000044052</t>
  </si>
  <si>
    <t>Il20rb</t>
  </si>
  <si>
    <t>ENSMUSG00000044244</t>
  </si>
  <si>
    <t>Ackr3</t>
  </si>
  <si>
    <t>ENSMUSG00000044337</t>
  </si>
  <si>
    <t>Cxcr4</t>
  </si>
  <si>
    <t>ENSMUSG00000045382</t>
  </si>
  <si>
    <t>Cxcr5</t>
  </si>
  <si>
    <t>ENSMUSG00000047880</t>
  </si>
  <si>
    <t>Ccr4</t>
  </si>
  <si>
    <t>ENSMUSG00000047898</t>
  </si>
  <si>
    <t>Cxcr1</t>
  </si>
  <si>
    <t>ENSMUSG00000048480</t>
  </si>
  <si>
    <t>Ccr2</t>
  </si>
  <si>
    <t>ENSMUSG00000049103</t>
  </si>
  <si>
    <t>Cxcr3</t>
  </si>
  <si>
    <t>ENSMUSG00000050232</t>
  </si>
  <si>
    <t>Cx3cr1</t>
  </si>
  <si>
    <t>ENSMUSG00000052336</t>
  </si>
  <si>
    <t>Cxcl2</t>
  </si>
  <si>
    <t>ENSMUSG00000058427</t>
  </si>
  <si>
    <t>Xcr1</t>
  </si>
  <si>
    <t>ENSMUSG00000060509</t>
  </si>
  <si>
    <t>Cxcl12</t>
  </si>
  <si>
    <t>ENSMUSG00000061353</t>
  </si>
  <si>
    <t>Ccr1l1</t>
  </si>
  <si>
    <t>ENSMUSG00000064039</t>
  </si>
  <si>
    <t>Il2rb</t>
  </si>
  <si>
    <t>ENSMUSG00000068227</t>
  </si>
  <si>
    <t>Ccl26</t>
  </si>
  <si>
    <t>ENSMUSG00000070464</t>
  </si>
  <si>
    <t>Ccl19</t>
  </si>
  <si>
    <t>ENSMUSG00000071005</t>
  </si>
  <si>
    <t>Ccl27a</t>
  </si>
  <si>
    <t>ENSMUSG00000073888</t>
  </si>
  <si>
    <t>Ccl28</t>
  </si>
  <si>
    <t>ENSMUSG00000074715</t>
  </si>
  <si>
    <t>Ccl21a</t>
  </si>
  <si>
    <t>ENSMUSG00000094686</t>
  </si>
  <si>
    <t>ensembl_ID</t>
  </si>
  <si>
    <t>symbol</t>
  </si>
  <si>
    <t>entrezgene_id</t>
  </si>
  <si>
    <t>log2FC</t>
  </si>
  <si>
    <t>Adjusted_P_value</t>
  </si>
  <si>
    <t>description</t>
  </si>
  <si>
    <t>ENSMUSG00000090231</t>
  </si>
  <si>
    <t>Cfb</t>
  </si>
  <si>
    <t>1.43149981529464e-14</t>
  </si>
  <si>
    <t>Complement factor B</t>
  </si>
  <si>
    <t>ENSMUSG00000040026</t>
  </si>
  <si>
    <t>Saa3</t>
  </si>
  <si>
    <t>3.89759562629108e-13</t>
  </si>
  <si>
    <t>Serum amyloid A 3</t>
  </si>
  <si>
    <t>ENSMUSG00000025498</t>
  </si>
  <si>
    <t>Irf7</t>
  </si>
  <si>
    <t>3.03386311824972e-15</t>
  </si>
  <si>
    <t>Interferon regulatory factor 7</t>
  </si>
  <si>
    <t>ENSMUSG00000099974</t>
  </si>
  <si>
    <t>Bcl2a1d</t>
  </si>
  <si>
    <t>6.26862425213091e-12</t>
  </si>
  <si>
    <t>B cell leukemia/lymphoma 2 related protein A1d</t>
  </si>
  <si>
    <t>5.67575092788759e-17</t>
  </si>
  <si>
    <t>C-X-C motif chemokine ligand 10</t>
  </si>
  <si>
    <t>ENSMUSG00000066363</t>
  </si>
  <si>
    <t>Serpina3f</t>
  </si>
  <si>
    <t>2.23541257981312e-15</t>
  </si>
  <si>
    <t>Serine (or cysteine) peptidase inhibitor, clade A, member 3F</t>
  </si>
  <si>
    <t>ENSMUSG00000037321</t>
  </si>
  <si>
    <t>Tap1</t>
  </si>
  <si>
    <t>1.68965590368071e-13</t>
  </si>
  <si>
    <t>Transporter 1, ATP-binding cassette, sub-family B (MDR/TAP)</t>
  </si>
  <si>
    <t>ENSMUSG00000029322</t>
  </si>
  <si>
    <t>Plac8</t>
  </si>
  <si>
    <t>1.22049891045816e-15</t>
  </si>
  <si>
    <t>Placenta-specific 8</t>
  </si>
  <si>
    <t>1.32865609788276e-12</t>
  </si>
  <si>
    <t>C-C motif chemokine ligand 2</t>
  </si>
  <si>
    <t>ENSMUSG00000041827</t>
  </si>
  <si>
    <t>Oasl1</t>
  </si>
  <si>
    <t>2'-5' oligoadenylate synthetase-like 1</t>
  </si>
  <si>
    <t>ENSMUSG00000073418</t>
  </si>
  <si>
    <t>C4b</t>
  </si>
  <si>
    <t>9.40484433310852e-09</t>
  </si>
  <si>
    <t>Complement C4B (Chido blood group)</t>
  </si>
  <si>
    <t>ENSMUSG00000026822</t>
  </si>
  <si>
    <t>Lcn2</t>
  </si>
  <si>
    <t>3.54703071793803e-10</t>
  </si>
  <si>
    <t>Lipocalin 2</t>
  </si>
  <si>
    <t>2.42709114783387e-10</t>
  </si>
  <si>
    <t>C-C motif chemokine ligand 5</t>
  </si>
  <si>
    <t>ILMN_2996973</t>
  </si>
  <si>
    <t>NA</t>
  </si>
  <si>
    <t>4.31510297196983e-11</t>
  </si>
  <si>
    <t>ENSMUSG00000057346</t>
  </si>
  <si>
    <t>Apol9a</t>
  </si>
  <si>
    <t>Apolipoprotein L 9a</t>
  </si>
  <si>
    <t>ENSMUSG00000023341</t>
  </si>
  <si>
    <t>Mx2</t>
  </si>
  <si>
    <t>6.03691000205596e-15</t>
  </si>
  <si>
    <t>MX dynamin-like GTPase 2</t>
  </si>
  <si>
    <t>ENSMUSG00000074896</t>
  </si>
  <si>
    <t>Ifit3</t>
  </si>
  <si>
    <t>Interferon-induced protein with tetratricopeptide repeats 3</t>
  </si>
  <si>
    <t>ENSMUSG00000066850</t>
  </si>
  <si>
    <t>Vmn1r65</t>
  </si>
  <si>
    <t>6.96579257300818e-14</t>
  </si>
  <si>
    <t>Vomeronasal 1 receptor 65</t>
  </si>
  <si>
    <t>ENSMUSG00000052270</t>
  </si>
  <si>
    <t>Fpr2</t>
  </si>
  <si>
    <t>5.25492543014618e-11</t>
  </si>
  <si>
    <t>Formyl peptide receptor 2</t>
  </si>
  <si>
    <t>ENSMUSG00000068246</t>
  </si>
  <si>
    <t>Apol9b</t>
  </si>
  <si>
    <t>5.46758938178173e-15</t>
  </si>
  <si>
    <t>Apolipoprotein L 9b</t>
  </si>
  <si>
    <t>6.64400970524749e-11</t>
  </si>
  <si>
    <t>C-C motif chemokine ligand 4</t>
  </si>
  <si>
    <t>ENSMUSG00000048806</t>
  </si>
  <si>
    <t>Ifnb1</t>
  </si>
  <si>
    <t>1.06551060404074e-11</t>
  </si>
  <si>
    <t>Interferon beta 1, fibroblast</t>
  </si>
  <si>
    <t>ENSMUSG00000022126</t>
  </si>
  <si>
    <t>Acod1</t>
  </si>
  <si>
    <t>3.67047254444179e-13</t>
  </si>
  <si>
    <t>Aconitate decarboxylase 1</t>
  </si>
  <si>
    <t>1.8490216310499e-12</t>
  </si>
  <si>
    <t>C-C motif chemokine ligand 7</t>
  </si>
  <si>
    <t>ENSMUSG00000027832</t>
  </si>
  <si>
    <t>Ptx3</t>
  </si>
  <si>
    <t>1.68997829082837e-11</t>
  </si>
  <si>
    <t>Pentraxin related gene</t>
  </si>
  <si>
    <t>ENSMUSG00000035692</t>
  </si>
  <si>
    <t>Isg15</t>
  </si>
  <si>
    <t>2.13254286682661e-15</t>
  </si>
  <si>
    <t>ISG15 ubiquitin-like modifier</t>
  </si>
  <si>
    <t>ENSMUSG00000044703</t>
  </si>
  <si>
    <t>Phf11a</t>
  </si>
  <si>
    <t>1.31061121406561e-11</t>
  </si>
  <si>
    <t>PHD finger protein 11A</t>
  </si>
  <si>
    <t>ENSMUSG00000021091</t>
  </si>
  <si>
    <t>Serpina3n</t>
  </si>
  <si>
    <t>3.26976435848119e-08</t>
  </si>
  <si>
    <t>Serine (or cysteine) peptidase inhibitor, clade A, member 3N</t>
  </si>
  <si>
    <t>ENSMUSG00000033213</t>
  </si>
  <si>
    <t>AA467197</t>
  </si>
  <si>
    <t>8.10797576583123e-12</t>
  </si>
  <si>
    <t>Expressed sequence AA467197</t>
  </si>
  <si>
    <t>ENSMUSG00000045932</t>
  </si>
  <si>
    <t>Ifit2</t>
  </si>
  <si>
    <t>Interferon-induced protein with tetratricopeptide repeats 2</t>
  </si>
  <si>
    <t>ENSMUSG00000040809</t>
  </si>
  <si>
    <t>Chil3</t>
  </si>
  <si>
    <t>8.73454453907891e-09</t>
  </si>
  <si>
    <t>Chitinase-like 3</t>
  </si>
  <si>
    <t>ENSMUSG00000050370</t>
  </si>
  <si>
    <t>Ch25h</t>
  </si>
  <si>
    <t>5.53894158304516e-11</t>
  </si>
  <si>
    <t>Cholesterol 25-hydroxylase</t>
  </si>
  <si>
    <t>ENSMUSG00000030107</t>
  </si>
  <si>
    <t>Usp18</t>
  </si>
  <si>
    <t>5.94824662257199e-14</t>
  </si>
  <si>
    <t>Ubiquitin specific peptidase 18</t>
  </si>
  <si>
    <t>ENSMUSG00000031722</t>
  </si>
  <si>
    <t>Hp</t>
  </si>
  <si>
    <t>7.82454943193787e-10</t>
  </si>
  <si>
    <t>Haptoglobin</t>
  </si>
  <si>
    <t>ENSMUSG00000041481</t>
  </si>
  <si>
    <t>Serpina3g</t>
  </si>
  <si>
    <t>8.13382703191038e-12</t>
  </si>
  <si>
    <t>Serine (or cysteine) peptidase inhibitor, clade A, member 3G</t>
  </si>
  <si>
    <t>ENSMUSG00000029304</t>
  </si>
  <si>
    <t>Spp1</t>
  </si>
  <si>
    <t>1.02684313998409e-06</t>
  </si>
  <si>
    <t>Secreted phosphoprotein 1</t>
  </si>
  <si>
    <t>ENSMUSG00000001131</t>
  </si>
  <si>
    <t>Timp1</t>
  </si>
  <si>
    <t>1.13252768259109e-08</t>
  </si>
  <si>
    <t>Tissue inhibitor of metalloproteinase 1</t>
  </si>
  <si>
    <t>C-C motif chemokine ligand 3</t>
  </si>
  <si>
    <t>ENSMUSG00000063779</t>
  </si>
  <si>
    <t>Chil4</t>
  </si>
  <si>
    <t>3.5230202497592e-08</t>
  </si>
  <si>
    <t>Chitinase-like 4</t>
  </si>
  <si>
    <t>ENSMUSG00000006930</t>
  </si>
  <si>
    <t>Hap1</t>
  </si>
  <si>
    <t>5.47180471235272e-09</t>
  </si>
  <si>
    <t>Huntingtin-associated protein 1</t>
  </si>
  <si>
    <t>ENSMUSG00000038508</t>
  </si>
  <si>
    <t>Gdf15</t>
  </si>
  <si>
    <t>1.4420223786292e-08</t>
  </si>
  <si>
    <t>Growth differentiation factor 15</t>
  </si>
  <si>
    <t>ENSMUSG00000079491</t>
  </si>
  <si>
    <t>H2-T10</t>
  </si>
  <si>
    <t>Histocompatibility 2, T region locus 10</t>
  </si>
  <si>
    <t>ENSMUSG00000016283</t>
  </si>
  <si>
    <t>H2-M2</t>
  </si>
  <si>
    <t>2.27001372297031e-07</t>
  </si>
  <si>
    <t>Histocompatibility 2, M region locus 2</t>
  </si>
  <si>
    <t>ENSMUSG00000017830</t>
  </si>
  <si>
    <t>Dhx58</t>
  </si>
  <si>
    <t>9.02784910543626e-13</t>
  </si>
  <si>
    <t>DExH-box helicase 58</t>
  </si>
  <si>
    <t>ENSMUSG00000074677</t>
  </si>
  <si>
    <t>Sirpb1c</t>
  </si>
  <si>
    <t>6.12079023199521e-10</t>
  </si>
  <si>
    <t>Signal-regulatory protein beta 1C</t>
  </si>
  <si>
    <t>ENSMUSG00000027555</t>
  </si>
  <si>
    <t>Car13</t>
  </si>
  <si>
    <t>Carbonic anhydrase 13</t>
  </si>
  <si>
    <t>ENSMUSG00000027322</t>
  </si>
  <si>
    <t>Siglec1</t>
  </si>
  <si>
    <t>2.98488849834868e-10</t>
  </si>
  <si>
    <t>Sialic acid binding Ig-like lectin 1, sialoadhesin</t>
  </si>
  <si>
    <t>ENSMUSG00000022651</t>
  </si>
  <si>
    <t>Retnlg</t>
  </si>
  <si>
    <t>1.60825178130569e-07</t>
  </si>
  <si>
    <t>Resistin like gamma</t>
  </si>
  <si>
    <t>ENSMUSG00000059089</t>
  </si>
  <si>
    <t>Fcgr4</t>
  </si>
  <si>
    <t>2.21619562041266e-09</t>
  </si>
  <si>
    <t>Fc receptor, IgG, low affinity IV</t>
  </si>
  <si>
    <t>ENSMUSG00000029321</t>
  </si>
  <si>
    <t>Slc10a6</t>
  </si>
  <si>
    <t>6.67975633669514e-09</t>
  </si>
  <si>
    <t>Solute carrier family 10 (sodium/bile acid cotransporter family), member 6</t>
  </si>
  <si>
    <t>ENSMUSG00000005667</t>
  </si>
  <si>
    <t>Mthfd2</t>
  </si>
  <si>
    <t>Methylenetetrahydrofolate dehydrogenase (NAD+ dependent), methenyltetrahydrofolate cyclohydrolase</t>
  </si>
  <si>
    <t>ENSMUSG00000068245</t>
  </si>
  <si>
    <t>Phf11d</t>
  </si>
  <si>
    <t>6.43502074240572e-15</t>
  </si>
  <si>
    <t>PHD finger protein 11D</t>
  </si>
  <si>
    <t>ENSMUSG00000079362</t>
  </si>
  <si>
    <t>Gm43302</t>
  </si>
  <si>
    <t>3.33803267536396e-07</t>
  </si>
  <si>
    <t>Predicted gene 43302</t>
  </si>
  <si>
    <t>ENSMUSG00000059108</t>
  </si>
  <si>
    <t>Ifitm6</t>
  </si>
  <si>
    <t>Interferon induced transmembrane protein 6</t>
  </si>
  <si>
    <t>ENSMUSG00000071714</t>
  </si>
  <si>
    <t>Csf2rb2</t>
  </si>
  <si>
    <t>4.2425193515765e-10</t>
  </si>
  <si>
    <t>Colony stimulating factor 2 receptor, beta 2, low-affinity (granulocyte-macrophage)</t>
  </si>
  <si>
    <t>ENSMUSG00000005413</t>
  </si>
  <si>
    <t>Hmox1</t>
  </si>
  <si>
    <t>2.80242154725448e-11</t>
  </si>
  <si>
    <t>Heme oxygenase 1</t>
  </si>
  <si>
    <t>ENSMUSG00000030144</t>
  </si>
  <si>
    <t>Clec4d</t>
  </si>
  <si>
    <t>1.60918018321894e-08</t>
  </si>
  <si>
    <t>C-type lectin domain family 4, member d</t>
  </si>
  <si>
    <t>ENSMUSG00000073409</t>
  </si>
  <si>
    <t>H2-Q6</t>
  </si>
  <si>
    <t>1.16107617887085e-11</t>
  </si>
  <si>
    <t>Histocompatibility 2, Q region locus 6</t>
  </si>
  <si>
    <t>7.06134552179982e-05</t>
  </si>
  <si>
    <t>C-X-C motif chemokine ligand 13</t>
  </si>
  <si>
    <t>ENSMUSG00000078853</t>
  </si>
  <si>
    <t>Igtp</t>
  </si>
  <si>
    <t>8.94241380246983e-13</t>
  </si>
  <si>
    <t>Interferon gamma induced GTPase</t>
  </si>
  <si>
    <t>ENSMUSG00000039236</t>
  </si>
  <si>
    <t>Isg20</t>
  </si>
  <si>
    <t>Interferon-stimulated protein</t>
  </si>
  <si>
    <t>ENSMUSG00000066861</t>
  </si>
  <si>
    <t>Oas1g</t>
  </si>
  <si>
    <t>2'-5' oligoadenylate synthetase 1G</t>
  </si>
  <si>
    <t>ENSMUSG00000030156</t>
  </si>
  <si>
    <t>Cd69</t>
  </si>
  <si>
    <t>6.51565047529267e-08</t>
  </si>
  <si>
    <t>CD69 antigen</t>
  </si>
  <si>
    <t>ENSMUSG00000020641</t>
  </si>
  <si>
    <t>Rsad2</t>
  </si>
  <si>
    <t>Radical S-adenosyl methionine domain containing 2</t>
  </si>
  <si>
    <t>ENSMUSG00000028268</t>
  </si>
  <si>
    <t>Gbp3</t>
  </si>
  <si>
    <t>6.47676844723594e-15</t>
  </si>
  <si>
    <t>Guanylate binding protein 3</t>
  </si>
  <si>
    <t>ENSMUSG00000029605</t>
  </si>
  <si>
    <t>Oas1b</t>
  </si>
  <si>
    <t>4.78437619002448e-10</t>
  </si>
  <si>
    <t>2'-5' oligoadenylate synthetase 1B</t>
  </si>
  <si>
    <t>ENSMUSG00000036067</t>
  </si>
  <si>
    <t>Slc2a6</t>
  </si>
  <si>
    <t>2.38797387095196e-07</t>
  </si>
  <si>
    <t>Solute carrier family 2 (facilitated glucose transporter), member 6</t>
  </si>
  <si>
    <t>ENSMUSG00000062593</t>
  </si>
  <si>
    <t>Gm49339</t>
  </si>
  <si>
    <t>Predicted gene, 49339</t>
  </si>
  <si>
    <t>ENSMUSG00000026358</t>
  </si>
  <si>
    <t>Rgs1</t>
  </si>
  <si>
    <t>1.89511029661153e-06</t>
  </si>
  <si>
    <t>Regulator of G-protein signaling 1</t>
  </si>
  <si>
    <t>ENSMUSG00000024827</t>
  </si>
  <si>
    <t>Gldc</t>
  </si>
  <si>
    <t>8.600025420835e-07</t>
  </si>
  <si>
    <t>Glycine decarboxylase</t>
  </si>
  <si>
    <t>ILMN_2777474</t>
  </si>
  <si>
    <t>2.17870222827358e-07</t>
  </si>
  <si>
    <t>ENSMUSG00000057596</t>
  </si>
  <si>
    <t>Trim30d</t>
  </si>
  <si>
    <t>1.00571094548099e-09</t>
  </si>
  <si>
    <t>Tripartite motif-containing 30D</t>
  </si>
  <si>
    <t>ENSMUSG00000053820</t>
  </si>
  <si>
    <t>Bcl2a1c</t>
  </si>
  <si>
    <t>1.11763520114374e-10</t>
  </si>
  <si>
    <t>B cell leukemia/lymphoma 2 related protein A1c</t>
  </si>
  <si>
    <t>ENSMUSG00000074151</t>
  </si>
  <si>
    <t>Nlrc5</t>
  </si>
  <si>
    <t>4.47650072314627e-08</t>
  </si>
  <si>
    <t>NLR family, CARD domain containing 5</t>
  </si>
  <si>
    <t>ENSMUSG00000031762</t>
  </si>
  <si>
    <t>Mt2</t>
  </si>
  <si>
    <t>3.16797960337537e-08</t>
  </si>
  <si>
    <t>Metallothionein 2</t>
  </si>
  <si>
    <t>ENSMUSG00000030124</t>
  </si>
  <si>
    <t>Lag3</t>
  </si>
  <si>
    <t>4.93261699311093e-08</t>
  </si>
  <si>
    <t>Lymphocyte-activation gene 3</t>
  </si>
  <si>
    <t>ENSMUSG00000000386</t>
  </si>
  <si>
    <t>Mx1</t>
  </si>
  <si>
    <t>4.55733405703535e-11</t>
  </si>
  <si>
    <t>MX dynamin-like GTPase 1</t>
  </si>
  <si>
    <t>ENSMUSG00000033880</t>
  </si>
  <si>
    <t>Lgals3bp</t>
  </si>
  <si>
    <t>Lectin, galactoside-binding, soluble, 3 binding protein</t>
  </si>
  <si>
    <t>ENSMUSG00000024640</t>
  </si>
  <si>
    <t>Psat1</t>
  </si>
  <si>
    <t>2.56080209524155e-12</t>
  </si>
  <si>
    <t>Phosphoserine aminotransferase 1</t>
  </si>
  <si>
    <t>ENSMUSG00000053113</t>
  </si>
  <si>
    <t>Socs3</t>
  </si>
  <si>
    <t>1.0452974221238e-08</t>
  </si>
  <si>
    <t>Suppressor of cytokine signaling 3</t>
  </si>
  <si>
    <t>ENSMUSG00000027360</t>
  </si>
  <si>
    <t>Hdc</t>
  </si>
  <si>
    <t>2.19979595254154e-10</t>
  </si>
  <si>
    <t>Histidine decarboxylase</t>
  </si>
  <si>
    <t>ENSMUSG00000054203</t>
  </si>
  <si>
    <t>Ifi205</t>
  </si>
  <si>
    <t>Interferon activated gene 205</t>
  </si>
  <si>
    <t>ENSMUSG00000006403</t>
  </si>
  <si>
    <t>Adamts4</t>
  </si>
  <si>
    <t>1.73384021712544e-06</t>
  </si>
  <si>
    <t>ADAM metallopeptidase with thrombospondin type 1 motif 4</t>
  </si>
  <si>
    <t>9.03268159809513e-06</t>
  </si>
  <si>
    <t>C-C motif chemokine ligand 19</t>
  </si>
  <si>
    <t>ENSMUSG00000002289</t>
  </si>
  <si>
    <t>Angptl4</t>
  </si>
  <si>
    <t>5.53347149392681e-07</t>
  </si>
  <si>
    <t>Angiopoietin-like 4</t>
  </si>
  <si>
    <t>ENSMUSG00000046718</t>
  </si>
  <si>
    <t>Bst2</t>
  </si>
  <si>
    <t>6.04747380487864e-10</t>
  </si>
  <si>
    <t>Bone marrow stromal cell antigen 2</t>
  </si>
  <si>
    <t>ENSMUSG00000043613</t>
  </si>
  <si>
    <t>Mmp3</t>
  </si>
  <si>
    <t>Matrix metallopeptidase 3</t>
  </si>
  <si>
    <t>ENSMUSG00000028613</t>
  </si>
  <si>
    <t>Lrp8</t>
  </si>
  <si>
    <t>1.00803543673181e-07</t>
  </si>
  <si>
    <t>Low density lipoprotein receptor-related protein 8, apolipoprotein e receptor</t>
  </si>
  <si>
    <t>6.03347689988967e-06</t>
  </si>
  <si>
    <t>C-X-C motif chemokine ligand 1</t>
  </si>
  <si>
    <t>ENSMUSG00000009681</t>
  </si>
  <si>
    <t>Bcr</t>
  </si>
  <si>
    <t>1.27246499440701e-07</t>
  </si>
  <si>
    <t>BCR activator of RhoGEF and GTPase</t>
  </si>
  <si>
    <t>ENSMUSG00000024679</t>
  </si>
  <si>
    <t>Ms4a6d</t>
  </si>
  <si>
    <t>4.18669379728078e-11</t>
  </si>
  <si>
    <t>Membrane-spanning 4-domains, subfamily A, member 6D</t>
  </si>
  <si>
    <t>ENSMUSG00000040133</t>
  </si>
  <si>
    <t>Gpr176</t>
  </si>
  <si>
    <t>1.22845315584945e-08</t>
  </si>
  <si>
    <t>G protein-coupled receptor 176</t>
  </si>
  <si>
    <t>ENSMUSG00000067599</t>
  </si>
  <si>
    <t>Klra7</t>
  </si>
  <si>
    <t>5.07737686859905e-05</t>
  </si>
  <si>
    <t>Killer cell lectin-like receptor, subfamily A, member 7</t>
  </si>
  <si>
    <t>ENSMUSG00000120992</t>
  </si>
  <si>
    <t>D17H6S56E-5</t>
  </si>
  <si>
    <t>1.52582914724875e-10</t>
  </si>
  <si>
    <t>DNA segment, Chr 17, human D6S56E 5</t>
  </si>
  <si>
    <t>ENSMUSG00000056054</t>
  </si>
  <si>
    <t>S100a8</t>
  </si>
  <si>
    <t>8.71902133960524e-06</t>
  </si>
  <si>
    <t>S100 calcium binding protein A8 (calgranulin A)</t>
  </si>
  <si>
    <t>ENSMUSG00000035186</t>
  </si>
  <si>
    <t>Ubd</t>
  </si>
  <si>
    <t>5.18569670676393e-08</t>
  </si>
  <si>
    <t>Ubiquitin D</t>
  </si>
  <si>
    <t>ENSMUSG00000078763</t>
  </si>
  <si>
    <t>Slfn1</t>
  </si>
  <si>
    <t>1.19763897547403e-08</t>
  </si>
  <si>
    <t>Schlafen 1</t>
  </si>
  <si>
    <t>ENSMUSG00000078920</t>
  </si>
  <si>
    <t>Ifi47</t>
  </si>
  <si>
    <t>3.45711302198345e-05</t>
  </si>
  <si>
    <t>Interferon gamma inducible protein 47</t>
  </si>
  <si>
    <t>ENSMUSG00000028459</t>
  </si>
  <si>
    <t>Cd72</t>
  </si>
  <si>
    <t>9.56883489899896e-06</t>
  </si>
  <si>
    <t>CD72 antigen</t>
  </si>
  <si>
    <t>ENSMUSG00000026582</t>
  </si>
  <si>
    <t>Sele</t>
  </si>
  <si>
    <t>2.99607460891398e-08</t>
  </si>
  <si>
    <t>Selectin, endothelial cell</t>
  </si>
  <si>
    <t>ENSMUSG00000016496</t>
  </si>
  <si>
    <t>Cd274</t>
  </si>
  <si>
    <t>7.38414461559225e-10</t>
  </si>
  <si>
    <t>CD274 antigen</t>
  </si>
  <si>
    <t>ENSMUSG00000029561</t>
  </si>
  <si>
    <t>Oasl2</t>
  </si>
  <si>
    <t>2'-5' oligoadenylate synthetase-like 2</t>
  </si>
  <si>
    <t>ENSMUSG00000060550</t>
  </si>
  <si>
    <t>H2-Q7</t>
  </si>
  <si>
    <t>Histocompatibility 2, Q region locus 7</t>
  </si>
  <si>
    <t>ENSMUSG00000030427</t>
  </si>
  <si>
    <t>Lilra6</t>
  </si>
  <si>
    <t>6.90586371240337e-07</t>
  </si>
  <si>
    <t>Leukocyte immunoglobulin-like receptor, subfamily A (with TM domain), member 6</t>
  </si>
  <si>
    <t>ENSMUSG00000026896</t>
  </si>
  <si>
    <t>Ifih1</t>
  </si>
  <si>
    <t>1.15685836415732e-09</t>
  </si>
  <si>
    <t>Interferon induced with helicase C domain 1</t>
  </si>
  <si>
    <t>ENSMUSG00000061232</t>
  </si>
  <si>
    <t>H2-K1</t>
  </si>
  <si>
    <t>6.18616412675055e-10</t>
  </si>
  <si>
    <t>Histocompatibility 2, K1, K region</t>
  </si>
  <si>
    <t>ENSMUSG00000003484</t>
  </si>
  <si>
    <t>Cyp4f18</t>
  </si>
  <si>
    <t>2.3173620396688e-09</t>
  </si>
  <si>
    <t>Cytochrome P450, family 4, subfamily f, polypeptide 18</t>
  </si>
  <si>
    <t>ENSMUSG00000033538</t>
  </si>
  <si>
    <t>Casp4</t>
  </si>
  <si>
    <t>1.3786852501931e-12</t>
  </si>
  <si>
    <t>Caspase 4, apoptosis-related cysteine peptidase</t>
  </si>
  <si>
    <t>ENSMUSG00000057135</t>
  </si>
  <si>
    <t>Scimp</t>
  </si>
  <si>
    <t>1.51235488941414e-06</t>
  </si>
  <si>
    <t>SLP adaptor and CSK interacting membrane protein</t>
  </si>
  <si>
    <t>ENSMUSG00000030413</t>
  </si>
  <si>
    <t>Pglyrp1</t>
  </si>
  <si>
    <t>Peptidoglycan recognition protein 1</t>
  </si>
  <si>
    <t>ENSMUSG00000032596</t>
  </si>
  <si>
    <t>Uba7</t>
  </si>
  <si>
    <t>4.95676533793282e-08</t>
  </si>
  <si>
    <t>Ubiquitin-like modifier activating enzyme 7</t>
  </si>
  <si>
    <t>ENSMUSG00000063727</t>
  </si>
  <si>
    <t>Tnfrsf11b</t>
  </si>
  <si>
    <t>1.63156891679112e-07</t>
  </si>
  <si>
    <t>Tumor necrosis factor receptor superfamily, member 11b (osteoprotegerin)</t>
  </si>
  <si>
    <t>ENSMUSG00000037868</t>
  </si>
  <si>
    <t>Egr2</t>
  </si>
  <si>
    <t>6.95138422183007e-08</t>
  </si>
  <si>
    <t>Early growth response 2</t>
  </si>
  <si>
    <t>C-C motif chemokine ligand 8</t>
  </si>
  <si>
    <t>ENSMUSG00000015947</t>
  </si>
  <si>
    <t>Fcgr1</t>
  </si>
  <si>
    <t>Fc receptor, IgG, high affinity I</t>
  </si>
  <si>
    <t>ENSMUSG00000026581</t>
  </si>
  <si>
    <t>Sell</t>
  </si>
  <si>
    <t>3.94266227845906e-08</t>
  </si>
  <si>
    <t>Selectin, lymphocyte</t>
  </si>
  <si>
    <t>ENSMUSG00000031639</t>
  </si>
  <si>
    <t>Tlr3</t>
  </si>
  <si>
    <t>Toll-like receptor 3</t>
  </si>
  <si>
    <t>ENSMUSG00000024737</t>
  </si>
  <si>
    <t>Slc15a3</t>
  </si>
  <si>
    <t>1.55194831964612e-10</t>
  </si>
  <si>
    <t>Solute carrier family 15, member 3</t>
  </si>
  <si>
    <t>5.19095252167049e-07</t>
  </si>
  <si>
    <t>C-C motif chemokine ligand 12</t>
  </si>
  <si>
    <t>ENSMUSG00000053687</t>
  </si>
  <si>
    <t>Dpep2</t>
  </si>
  <si>
    <t>1.78537213337979e-06</t>
  </si>
  <si>
    <t>Dipeptidase 2</t>
  </si>
  <si>
    <t>ENSMUSG00000061878</t>
  </si>
  <si>
    <t>Sphk1</t>
  </si>
  <si>
    <t>2.49531854036136e-05</t>
  </si>
  <si>
    <t>Sphingosine kinase 1</t>
  </si>
  <si>
    <t>ENSMUSG00000029752</t>
  </si>
  <si>
    <t>Asns</t>
  </si>
  <si>
    <t>Asparagine synthetase</t>
  </si>
  <si>
    <t>ENSMUSG00000020399</t>
  </si>
  <si>
    <t>Havcr2</t>
  </si>
  <si>
    <t>2.67747133245944e-07</t>
  </si>
  <si>
    <t>Hepatitis A virus cellular receptor 2</t>
  </si>
  <si>
    <t>ENSMUSG00000024087</t>
  </si>
  <si>
    <t>Cyp1b1</t>
  </si>
  <si>
    <t>1.39301399821364e-07</t>
  </si>
  <si>
    <t>Cytochrome P450, family 1, subfamily b, polypeptide 1</t>
  </si>
  <si>
    <t>ENSMUSG00000010358</t>
  </si>
  <si>
    <t>Ifi35</t>
  </si>
  <si>
    <t>8.9362255946787e-11</t>
  </si>
  <si>
    <t>Interferon-induced protein 35</t>
  </si>
  <si>
    <t>ENSMUSG00000032661</t>
  </si>
  <si>
    <t>Oas3</t>
  </si>
  <si>
    <t>2'-5' oligoadenylate synthetase 3</t>
  </si>
  <si>
    <t>ENSMUSG00000050335</t>
  </si>
  <si>
    <t>Lgals3</t>
  </si>
  <si>
    <t>3.57415704109717e-05</t>
  </si>
  <si>
    <t>Lectin, galactose binding, soluble 3</t>
  </si>
  <si>
    <t>ENSMUSG00000090125</t>
  </si>
  <si>
    <t>Pou3f1</t>
  </si>
  <si>
    <t>2.81433660220371e-08</t>
  </si>
  <si>
    <t>POU domain, class 3, transcription factor 1</t>
  </si>
  <si>
    <t>ENSMUSG00000028037</t>
  </si>
  <si>
    <t>Ifi44</t>
  </si>
  <si>
    <t>2.27806200541573e-05</t>
  </si>
  <si>
    <t>Interferon-induced protein 44</t>
  </si>
  <si>
    <t>ENSMUSG00000040152</t>
  </si>
  <si>
    <t>Thbs1</t>
  </si>
  <si>
    <t>6.11669485715809e-07</t>
  </si>
  <si>
    <t>Thrombospondin 1</t>
  </si>
  <si>
    <t>ENSMUSG00000078780</t>
  </si>
  <si>
    <t>Gm5150</t>
  </si>
  <si>
    <t>1.67678886079485e-08</t>
  </si>
  <si>
    <t>Predicted gene 5150</t>
  </si>
  <si>
    <t>ENSMUSG00000021750</t>
  </si>
  <si>
    <t>Fam107a</t>
  </si>
  <si>
    <t>3.8240097833028e-05</t>
  </si>
  <si>
    <t>Family with sequence similarity 107, member A</t>
  </si>
  <si>
    <t>ENSMUSG00000026628</t>
  </si>
  <si>
    <t>Atf3</t>
  </si>
  <si>
    <t>3.46611185452713e-08</t>
  </si>
  <si>
    <t>Activating transcription factor 3</t>
  </si>
  <si>
    <t>ENSMUSG00000025408</t>
  </si>
  <si>
    <t>Ddit3</t>
  </si>
  <si>
    <t>9.50174337204574e-08</t>
  </si>
  <si>
    <t>DNA-damage inducible transcript 3</t>
  </si>
  <si>
    <t>ILMN_2862706</t>
  </si>
  <si>
    <t>1.01018915922547e-08</t>
  </si>
  <si>
    <t>ENSMUSG00000046245</t>
  </si>
  <si>
    <t>Pilra</t>
  </si>
  <si>
    <t>9.50990588199151e-06</t>
  </si>
  <si>
    <t>Paired immunoglobin-like type 2 receptor alpha</t>
  </si>
  <si>
    <t>ENSMUSG00000026875</t>
  </si>
  <si>
    <t>Traf1</t>
  </si>
  <si>
    <t>TNF receptor-associated factor 1</t>
  </si>
  <si>
    <t>ENSMUSG00000027078</t>
  </si>
  <si>
    <t>Ube2l6</t>
  </si>
  <si>
    <t>1.78921043602886e-10</t>
  </si>
  <si>
    <t>Ubiquitin-conjugating enzyme E2L 6</t>
  </si>
  <si>
    <t>ENSMUSG00000105504</t>
  </si>
  <si>
    <t>Gbp5</t>
  </si>
  <si>
    <t>2.23195405850721e-09</t>
  </si>
  <si>
    <t>Guanylate binding protein 5</t>
  </si>
  <si>
    <t>ENSMUSG00000024810</t>
  </si>
  <si>
    <t>Il33</t>
  </si>
  <si>
    <t>Interleukin 33</t>
  </si>
  <si>
    <t>ENSMUSG00000026580</t>
  </si>
  <si>
    <t>Selp</t>
  </si>
  <si>
    <t>Selectin, platelet</t>
  </si>
  <si>
    <t>ENSMUSG00000049303</t>
  </si>
  <si>
    <t>Syt12</t>
  </si>
  <si>
    <t>9.31729071268816e-07</t>
  </si>
  <si>
    <t>Synaptotagmin XII</t>
  </si>
  <si>
    <t>ENSMUSG00000033777</t>
  </si>
  <si>
    <t>Tlr13</t>
  </si>
  <si>
    <t>Toll-like receptor 13</t>
  </si>
  <si>
    <t>ENSMUSG00000025017</t>
  </si>
  <si>
    <t>Pik3ap1</t>
  </si>
  <si>
    <t>3.55376638764146e-07</t>
  </si>
  <si>
    <t>Phosphoinositide-3-kinase adaptor protein 1</t>
  </si>
  <si>
    <t>ENSMUSG00000069874</t>
  </si>
  <si>
    <t>Irgm2</t>
  </si>
  <si>
    <t>1.87883889419608e-10</t>
  </si>
  <si>
    <t>Immunity-related GTPase family M member 2</t>
  </si>
  <si>
    <t>ENSMUSG00000030827</t>
  </si>
  <si>
    <t>Fgf21</t>
  </si>
  <si>
    <t>1.1802497234126e-05</t>
  </si>
  <si>
    <t>Fibroblast growth factor 21</t>
  </si>
  <si>
    <t>ENSMUSG00000020638</t>
  </si>
  <si>
    <t>Cmpk2</t>
  </si>
  <si>
    <t>1.40406539780683e-09</t>
  </si>
  <si>
    <t>Cytidine/uridine monophosphate kinase 2</t>
  </si>
  <si>
    <t>ILMN_2803674</t>
  </si>
  <si>
    <t>8.96398550096425e-05</t>
  </si>
  <si>
    <t>ENSMUSG00000002699</t>
  </si>
  <si>
    <t>Lcp2</t>
  </si>
  <si>
    <t>Lymphocyte cytosolic protein 2</t>
  </si>
  <si>
    <t>ENSMUSG00000079049</t>
  </si>
  <si>
    <t>Serpinb1c</t>
  </si>
  <si>
    <t>Serine (or cysteine) peptidase inhibitor, clade B, member 1c</t>
  </si>
  <si>
    <t>ENSMUSG00000028364</t>
  </si>
  <si>
    <t>Tnc</t>
  </si>
  <si>
    <t>Tenascin C</t>
  </si>
  <si>
    <t>ENSMUSG00000072620</t>
  </si>
  <si>
    <t>Slfn2</t>
  </si>
  <si>
    <t>6.65235255481684e-08</t>
  </si>
  <si>
    <t>Schlafen 2</t>
  </si>
  <si>
    <t>ENSMUSG00000026073</t>
  </si>
  <si>
    <t>Il1r2</t>
  </si>
  <si>
    <t>4.90510553095485e-05</t>
  </si>
  <si>
    <t>Interleukin 1 receptor, type II</t>
  </si>
  <si>
    <t>ENSMUSG00000002897</t>
  </si>
  <si>
    <t>Il17ra</t>
  </si>
  <si>
    <t>2.05222079383679e-08</t>
  </si>
  <si>
    <t>Interleukin 17 receptor A</t>
  </si>
  <si>
    <t>ENSMUSG00000034422</t>
  </si>
  <si>
    <t>Parp14</t>
  </si>
  <si>
    <t>4.06880882884111e-10</t>
  </si>
  <si>
    <t>Poly (ADP-ribose) polymerase family, member 14</t>
  </si>
  <si>
    <t>ENSMUSG00000012519</t>
  </si>
  <si>
    <t>Mlkl</t>
  </si>
  <si>
    <t>Mixed lineage kinase domain-like</t>
  </si>
  <si>
    <t>ENSMUSG00000024222</t>
  </si>
  <si>
    <t>Fkbp5</t>
  </si>
  <si>
    <t>1.29558748545597e-05</t>
  </si>
  <si>
    <t>FK506 binding protein 5</t>
  </si>
  <si>
    <t>ENSMUSG00000032690</t>
  </si>
  <si>
    <t>Oas2</t>
  </si>
  <si>
    <t>2.08709183553873e-05</t>
  </si>
  <si>
    <t>2'-5' oligoadenylate synthetase 2</t>
  </si>
  <si>
    <t>ENSMUSG00000049037</t>
  </si>
  <si>
    <t>Clec4a1</t>
  </si>
  <si>
    <t>1.62966916732466e-07</t>
  </si>
  <si>
    <t>C-type lectin domain family 4, member a1</t>
  </si>
  <si>
    <t>ENSMUSG00000063268</t>
  </si>
  <si>
    <t>Parp10</t>
  </si>
  <si>
    <t>8.25689921965114e-11</t>
  </si>
  <si>
    <t>Poly (ADP-ribose) polymerase family, member 10</t>
  </si>
  <si>
    <t>1.62075854151971e-06</t>
  </si>
  <si>
    <t>C-X-C motif chemokine ligand 9</t>
  </si>
  <si>
    <t>ENSMUSG00000064057</t>
  </si>
  <si>
    <t>Scgb3a1</t>
  </si>
  <si>
    <t>3.62445591400227e-06</t>
  </si>
  <si>
    <t>Secretoglobin, family 3A, member 1</t>
  </si>
  <si>
    <t>ENSMUSG00000066406</t>
  </si>
  <si>
    <t>Akap13</t>
  </si>
  <si>
    <t>4.28276076255058e-06</t>
  </si>
  <si>
    <t>A kinase anchor protein 13</t>
  </si>
  <si>
    <t>ENSMUSG00000040253</t>
  </si>
  <si>
    <t>Gbp7</t>
  </si>
  <si>
    <t>2.24428865512308e-10</t>
  </si>
  <si>
    <t>Guanylate binding protein 7</t>
  </si>
  <si>
    <t>ENSMUSG00000041754</t>
  </si>
  <si>
    <t>Trem3</t>
  </si>
  <si>
    <t>7.2034251288222e-09</t>
  </si>
  <si>
    <t>Triggering receptor expressed on myeloid cells 3</t>
  </si>
  <si>
    <t>ENSMUSG00000024066</t>
  </si>
  <si>
    <t>Xdh</t>
  </si>
  <si>
    <t>1.5656764676494e-10</t>
  </si>
  <si>
    <t>Xanthine dehydrogenase</t>
  </si>
  <si>
    <t>ENSMUSG00000028270</t>
  </si>
  <si>
    <t>Gbp2</t>
  </si>
  <si>
    <t>1.22746682666959e-08</t>
  </si>
  <si>
    <t>Guanylate binding protein 2</t>
  </si>
  <si>
    <t>ENSMUSG00000024696</t>
  </si>
  <si>
    <t>Lpxn</t>
  </si>
  <si>
    <t>7.31222454864296e-10</t>
  </si>
  <si>
    <t>Leupaxin</t>
  </si>
  <si>
    <t>ENSMUSG00000024883</t>
  </si>
  <si>
    <t>Rin1</t>
  </si>
  <si>
    <t>4.30236767923504e-05</t>
  </si>
  <si>
    <t>Ras and Rab interactor 1</t>
  </si>
  <si>
    <t>ENSMUSG00000032715</t>
  </si>
  <si>
    <t>Trib3</t>
  </si>
  <si>
    <t>8.89724035263645e-07</t>
  </si>
  <si>
    <t>Tribbles pseudokinase 3</t>
  </si>
  <si>
    <t>ENSMUSG00000066684</t>
  </si>
  <si>
    <t>Pilrb1</t>
  </si>
  <si>
    <t>Paired immunoglobin-like type 2 receptor beta 1</t>
  </si>
  <si>
    <t>ENSMUSG00000024079</t>
  </si>
  <si>
    <t>Eif2ak2</t>
  </si>
  <si>
    <t>6.24281403816977e-07</t>
  </si>
  <si>
    <t>Eukaryotic translation initiation factor 2-alpha kinase 2</t>
  </si>
  <si>
    <t>ENSMUSG00000037405</t>
  </si>
  <si>
    <t>Icam1</t>
  </si>
  <si>
    <t>6.49613268503084e-12</t>
  </si>
  <si>
    <t>Intercellular adhesion molecule 1</t>
  </si>
  <si>
    <t>ENSMUSG00000031444</t>
  </si>
  <si>
    <t>F10</t>
  </si>
  <si>
    <t>6.38038777487613e-05</t>
  </si>
  <si>
    <t>Coagulation factor X</t>
  </si>
  <si>
    <t>ILMN_2873988</t>
  </si>
  <si>
    <t>2.47190701480646e-09</t>
  </si>
  <si>
    <t>ENSMUSG00000040033</t>
  </si>
  <si>
    <t>Stat2</t>
  </si>
  <si>
    <t>4.75205995348087e-09</t>
  </si>
  <si>
    <t>Signal transducer and activator of transcription 2</t>
  </si>
  <si>
    <t>ENSMUSG00000031434</t>
  </si>
  <si>
    <t>Morc4</t>
  </si>
  <si>
    <t>2.65155985709648e-06</t>
  </si>
  <si>
    <t>Microrchidia 4</t>
  </si>
  <si>
    <t>ENSMUSG00000025279</t>
  </si>
  <si>
    <t>Dnase1l3</t>
  </si>
  <si>
    <t>Deoxyribonuclease 1-like 3</t>
  </si>
  <si>
    <t>ENSMUSG00000060519</t>
  </si>
  <si>
    <t>Tor3a</t>
  </si>
  <si>
    <t>5.90896997647798e-08</t>
  </si>
  <si>
    <t>Torsin family 3, member A</t>
  </si>
  <si>
    <t>ENSMUSG00000090215</t>
  </si>
  <si>
    <t>Trim34b</t>
  </si>
  <si>
    <t>Tripartite motif-containing 34B</t>
  </si>
  <si>
    <t>ENSMUSG00000020325</t>
  </si>
  <si>
    <t>Fstl3</t>
  </si>
  <si>
    <t>7.55584906268161e-06</t>
  </si>
  <si>
    <t>Follistatin-like 3</t>
  </si>
  <si>
    <t>ENSMUSG00000047180</t>
  </si>
  <si>
    <t>Neurl3</t>
  </si>
  <si>
    <t>1.4164523293069e-06</t>
  </si>
  <si>
    <t>Neuralized E3 ubiquitin protein ligase 3</t>
  </si>
  <si>
    <t>ENSMUSG00000039699</t>
  </si>
  <si>
    <t>Batf2</t>
  </si>
  <si>
    <t>3.00110044878533e-06</t>
  </si>
  <si>
    <t>Basic leucine zipper transcription factor, ATF-like 2</t>
  </si>
  <si>
    <t>4.50941127819414e-08</t>
  </si>
  <si>
    <t>C-C motif chemokine ligand 11</t>
  </si>
  <si>
    <t>ENSMUSG00000078922</t>
  </si>
  <si>
    <t>Tgtp1</t>
  </si>
  <si>
    <t>1.25698914915728e-06</t>
  </si>
  <si>
    <t>T cell specific GTPase 1</t>
  </si>
  <si>
    <t>ENSMUSG00000071715</t>
  </si>
  <si>
    <t>Ncf4</t>
  </si>
  <si>
    <t>Neutrophil cytosolic factor 4</t>
  </si>
  <si>
    <t>ENSMUSG00000016526</t>
  </si>
  <si>
    <t>Dyrk3</t>
  </si>
  <si>
    <t>2.06715966105859e-06</t>
  </si>
  <si>
    <t>Dual-specificity tyrosine phosphorylation regulated kinase 3</t>
  </si>
  <si>
    <t>ENSMUSG00000043832</t>
  </si>
  <si>
    <t>Clec4a3</t>
  </si>
  <si>
    <t>2.40348430921922e-07</t>
  </si>
  <si>
    <t>C-type lectin domain family 4, member a3</t>
  </si>
  <si>
    <t>ENSMUSG00000002325</t>
  </si>
  <si>
    <t>Irf9</t>
  </si>
  <si>
    <t>1.02985757933357e-10</t>
  </si>
  <si>
    <t>Interferon regulatory factor 9</t>
  </si>
  <si>
    <t>ENSMUSG00000019850</t>
  </si>
  <si>
    <t>Tnfaip3</t>
  </si>
  <si>
    <t>4.42560978783764e-11</t>
  </si>
  <si>
    <t>Tumor necrosis factor, alpha-induced protein 3</t>
  </si>
  <si>
    <t>ENSMUSG00000022868</t>
  </si>
  <si>
    <t>Ahsg</t>
  </si>
  <si>
    <t>Alpha-2-HS-glycoprotein</t>
  </si>
  <si>
    <t>ENSMUSG00000001123</t>
  </si>
  <si>
    <t>Lgals9</t>
  </si>
  <si>
    <t>Lectin, galactose binding, soluble 9</t>
  </si>
  <si>
    <t>Tumor necrosis factor</t>
  </si>
  <si>
    <t>ENSMUSG00000040428</t>
  </si>
  <si>
    <t>Plekha4</t>
  </si>
  <si>
    <t>9.40926882015031e-07</t>
  </si>
  <si>
    <t>Pleckstrin homology domain containing, family A (phosphoinositide binding specific) member 4</t>
  </si>
  <si>
    <t>ENSMUSG00000002204</t>
  </si>
  <si>
    <t>Napsa</t>
  </si>
  <si>
    <t>6.85634452509055e-08</t>
  </si>
  <si>
    <t>Napsin A aspartic peptidase</t>
  </si>
  <si>
    <t>ENSMUSG00000037447</t>
  </si>
  <si>
    <t>Arid5a</t>
  </si>
  <si>
    <t>2.12769120576114e-06</t>
  </si>
  <si>
    <t>AT-rich interaction domain 5A</t>
  </si>
  <si>
    <t>ENSMUSG00000050241</t>
  </si>
  <si>
    <t>Klre1</t>
  </si>
  <si>
    <t>1.76695171005938e-05</t>
  </si>
  <si>
    <t>Killer cell lectin-like receptor family E member 1</t>
  </si>
  <si>
    <t>ENSMUSG00000031662</t>
  </si>
  <si>
    <t>Snx20</t>
  </si>
  <si>
    <t>Sorting nexin 20</t>
  </si>
  <si>
    <t>ENSMUSG00000022372</t>
  </si>
  <si>
    <t>Sla</t>
  </si>
  <si>
    <t>2.16496514610231e-06</t>
  </si>
  <si>
    <t>Src-like adaptor</t>
  </si>
  <si>
    <t>ENSMUSG00000040829</t>
  </si>
  <si>
    <t>Zmynd15</t>
  </si>
  <si>
    <t>1.41433065967366e-05</t>
  </si>
  <si>
    <t>Zinc finger, MYND-type containing 15</t>
  </si>
  <si>
    <t>ENSMUSG00000023947</t>
  </si>
  <si>
    <t>Nfkbie</t>
  </si>
  <si>
    <t>9.34707035423123e-08</t>
  </si>
  <si>
    <t>Nuclear factor of kappa light polypeptide gene enhancer in B cells inhibitor, epsilon</t>
  </si>
  <si>
    <t>ENSMUSG00000032623</t>
  </si>
  <si>
    <t>Oas1d</t>
  </si>
  <si>
    <t>4.42212303368408e-10</t>
  </si>
  <si>
    <t>2'-5' oligoadenylate synthetase 1D</t>
  </si>
  <si>
    <t>ENSMUSG00000022014</t>
  </si>
  <si>
    <t>Epsti1</t>
  </si>
  <si>
    <t>3.84658314803682e-05</t>
  </si>
  <si>
    <t>Epithelial stromal interaction 1</t>
  </si>
  <si>
    <t>ENSMUSG00000022146</t>
  </si>
  <si>
    <t>Osmr</t>
  </si>
  <si>
    <t>Oncostatin M receptor</t>
  </si>
  <si>
    <t>ENSMUSG00000000682</t>
  </si>
  <si>
    <t>Cd52</t>
  </si>
  <si>
    <t>2.70130019480306e-07</t>
  </si>
  <si>
    <t>CD52 antigen</t>
  </si>
  <si>
    <t>ENSMUSG00000006642</t>
  </si>
  <si>
    <t>Tcf23</t>
  </si>
  <si>
    <t>5.64633089071177e-07</t>
  </si>
  <si>
    <t>Transcription factor 23</t>
  </si>
  <si>
    <t>ENSMUSG00000035356</t>
  </si>
  <si>
    <t>Nfkbiz</t>
  </si>
  <si>
    <t>1.02852553803954e-05</t>
  </si>
  <si>
    <t>Nuclear factor of kappa light polypeptide gene enhancer in B cells inhibitor, zeta</t>
  </si>
  <si>
    <t>ENSMUSG00000026832</t>
  </si>
  <si>
    <t>Cytip</t>
  </si>
  <si>
    <t>1.79152324387815e-07</t>
  </si>
  <si>
    <t>Cytohesin 1 interacting protein</t>
  </si>
  <si>
    <t>ENSMUSG00000026981</t>
  </si>
  <si>
    <t>Il1rn</t>
  </si>
  <si>
    <t>9.28666702522304e-06</t>
  </si>
  <si>
    <t>Interleukin 1 receptor antagonist</t>
  </si>
  <si>
    <t>ENSMUSG00000068335</t>
  </si>
  <si>
    <t>Dok1</t>
  </si>
  <si>
    <t>6.67570586856951e-10</t>
  </si>
  <si>
    <t>Docking protein 1</t>
  </si>
  <si>
    <t>ENSMUSG00000079852</t>
  </si>
  <si>
    <t>Klra4</t>
  </si>
  <si>
    <t>Killer cell lectin-like receptor, subfamily A, member 4</t>
  </si>
  <si>
    <t>ENSMUSG00000027843</t>
  </si>
  <si>
    <t>Ptpn22</t>
  </si>
  <si>
    <t>3.08882473593776e-06</t>
  </si>
  <si>
    <t>Protein tyrosine phosphatase, non-receptor type 22 (lymphoid)</t>
  </si>
  <si>
    <t>ENSMUSG00000042659</t>
  </si>
  <si>
    <t>Arrdc4</t>
  </si>
  <si>
    <t>4.74693077909996e-08</t>
  </si>
  <si>
    <t>Arrestin domain containing 4</t>
  </si>
  <si>
    <t>ENSMUSG00000078954</t>
  </si>
  <si>
    <t>Arhgap8</t>
  </si>
  <si>
    <t>2.80287702469389e-10</t>
  </si>
  <si>
    <t>Rho GTPase activating protein 8</t>
  </si>
  <si>
    <t>ENSMUSG00000028862</t>
  </si>
  <si>
    <t>Map3k6</t>
  </si>
  <si>
    <t>7.7566152552905e-07</t>
  </si>
  <si>
    <t>Mitogen-activated protein kinase kinase kinase 6</t>
  </si>
  <si>
    <t>ENSMUSG00000073411</t>
  </si>
  <si>
    <t>H2-D1</t>
  </si>
  <si>
    <t>Histocompatibility 2, D region locus 1</t>
  </si>
  <si>
    <t>ENSMUSG00000029771</t>
  </si>
  <si>
    <t>Irf5</t>
  </si>
  <si>
    <t>6.87841925936139e-07</t>
  </si>
  <si>
    <t>Interferon regulatory factor 5</t>
  </si>
  <si>
    <t>ENSMUSG00000024672</t>
  </si>
  <si>
    <t>Ms4a7</t>
  </si>
  <si>
    <t>1.28579895200076e-07</t>
  </si>
  <si>
    <t>Membrane-spanning 4-domains, subfamily A, member 7</t>
  </si>
  <si>
    <t>ENSMUSG00000021624</t>
  </si>
  <si>
    <t>Cd180</t>
  </si>
  <si>
    <t>6.45047870003674e-05</t>
  </si>
  <si>
    <t>CD180 antigen</t>
  </si>
  <si>
    <t>ENSMUSG00000006522</t>
  </si>
  <si>
    <t>Itih3</t>
  </si>
  <si>
    <t>Inter-alpha trypsin inhibitor, heavy chain 3</t>
  </si>
  <si>
    <t>ENSMUSG00000052776</t>
  </si>
  <si>
    <t>Oas1a</t>
  </si>
  <si>
    <t>4.95491191316519e-07</t>
  </si>
  <si>
    <t>2'-5' oligoadenylate synthetase 1A</t>
  </si>
  <si>
    <t>ENSMUSG00000023045</t>
  </si>
  <si>
    <t>Soat2</t>
  </si>
  <si>
    <t>9.93883055531295e-07</t>
  </si>
  <si>
    <t>Sterol O-acyltransferase 2</t>
  </si>
  <si>
    <t>ENSMUSG00000144204</t>
  </si>
  <si>
    <t>7.05571816322164e-09</t>
  </si>
  <si>
    <t>Novel transcript</t>
  </si>
  <si>
    <t>ENSMUSG00000016206</t>
  </si>
  <si>
    <t>H2-M3</t>
  </si>
  <si>
    <t>1.52989778610509e-10</t>
  </si>
  <si>
    <t>Histocompatibility 2, M region locus 3</t>
  </si>
  <si>
    <t>ENSMUSG00000020120</t>
  </si>
  <si>
    <t>Plek</t>
  </si>
  <si>
    <t>1.04403352733505e-06</t>
  </si>
  <si>
    <t>Pleckstrin</t>
  </si>
  <si>
    <t>ENSMUSG00000016194</t>
  </si>
  <si>
    <t>Hsd11b1</t>
  </si>
  <si>
    <t>1.39464501853693e-08</t>
  </si>
  <si>
    <t>Hydroxysteroid 11-beta dehydrogenase 1</t>
  </si>
  <si>
    <t>ENSMUSG00000073489</t>
  </si>
  <si>
    <t>Ifi204</t>
  </si>
  <si>
    <t>Interferon activated gene 204</t>
  </si>
  <si>
    <t>ENSMUSG00000038507</t>
  </si>
  <si>
    <t>Parp12</t>
  </si>
  <si>
    <t>1.50084078594868e-09</t>
  </si>
  <si>
    <t>Poly (ADP-ribose) polymerase family, member 12</t>
  </si>
  <si>
    <t>ENSMUSG00000004612</t>
  </si>
  <si>
    <t>Nkg7</t>
  </si>
  <si>
    <t>Natural killer cell group 7 sequence</t>
  </si>
  <si>
    <t>ENSMUSG00000031551</t>
  </si>
  <si>
    <t>Ido1</t>
  </si>
  <si>
    <t>1.04428280061904e-07</t>
  </si>
  <si>
    <t>Indoleamine 2,3-dioxygenase 1</t>
  </si>
  <si>
    <t>ENSMUSG00000027639</t>
  </si>
  <si>
    <t>Samhd1</t>
  </si>
  <si>
    <t>2.11685154154022e-08</t>
  </si>
  <si>
    <t>SAM domain and HD domain, 1</t>
  </si>
  <si>
    <t>ENSMUSG00000026104</t>
  </si>
  <si>
    <t>Stat1</t>
  </si>
  <si>
    <t>8.03099423963513e-06</t>
  </si>
  <si>
    <t>Signal transducer and activator of transcription 1</t>
  </si>
  <si>
    <t>ENSMUSG00000037731</t>
  </si>
  <si>
    <t>Themis2</t>
  </si>
  <si>
    <t>1.48572593024154e-05</t>
  </si>
  <si>
    <t>Thymocyte selection associated family member 2</t>
  </si>
  <si>
    <t>ENSMUSG00000035274</t>
  </si>
  <si>
    <t>Tpbg</t>
  </si>
  <si>
    <t>Trophoblast glycoprotein</t>
  </si>
  <si>
    <t>ENSMUSG00000016024</t>
  </si>
  <si>
    <t>Lbp</t>
  </si>
  <si>
    <t>6.42576400693313e-09</t>
  </si>
  <si>
    <t>Lipopolysaccharide binding protein</t>
  </si>
  <si>
    <t>ENSMUSG00000047810</t>
  </si>
  <si>
    <t>Ccdc88b</t>
  </si>
  <si>
    <t>2.58146883318088e-05</t>
  </si>
  <si>
    <t>Coiled-coil domain containing 88B</t>
  </si>
  <si>
    <t>ENSMUSG00000027313</t>
  </si>
  <si>
    <t>Chac1</t>
  </si>
  <si>
    <t>3.54236358250081e-06</t>
  </si>
  <si>
    <t>ChaC, cation transport regulator 1</t>
  </si>
  <si>
    <t>ILMN_2567962</t>
  </si>
  <si>
    <t>ENSMUSG00000027398</t>
  </si>
  <si>
    <t>Il1b</t>
  </si>
  <si>
    <t>6.66327088351209e-05</t>
  </si>
  <si>
    <t>Interleukin 1 beta</t>
  </si>
  <si>
    <t>ENSMUSG00000073412</t>
  </si>
  <si>
    <t>Lst1</t>
  </si>
  <si>
    <t>6.40418392915397e-05</t>
  </si>
  <si>
    <t>Leukocyte specific transcript 1</t>
  </si>
  <si>
    <t>ENSMUSG00000037872</t>
  </si>
  <si>
    <t>Ackr1</t>
  </si>
  <si>
    <t>1.207015130461e-06</t>
  </si>
  <si>
    <t>Atypical chemokine receptor 1 (Duffy blood group)</t>
  </si>
  <si>
    <t>ENSMUSG00000004707</t>
  </si>
  <si>
    <t>Ly9</t>
  </si>
  <si>
    <t>2.2588760763941e-06</t>
  </si>
  <si>
    <t>Lymphocyte antigen 9</t>
  </si>
  <si>
    <t>ENSMUSG00000021453</t>
  </si>
  <si>
    <t>Gadd45g</t>
  </si>
  <si>
    <t>5.96129223745334e-07</t>
  </si>
  <si>
    <t>Growth arrest and DNA-damage-inducible 45 gamma</t>
  </si>
  <si>
    <t>ENSMUSG00000050350</t>
  </si>
  <si>
    <t>Gpr18</t>
  </si>
  <si>
    <t>7.57852886784089e-05</t>
  </si>
  <si>
    <t>G protein-coupled receptor 18</t>
  </si>
  <si>
    <t>ENSMUSG00000027315</t>
  </si>
  <si>
    <t>Spint1</t>
  </si>
  <si>
    <t>Serine protease inhibitor, Kunitz type 1</t>
  </si>
  <si>
    <t>ENSMUSG00000049734</t>
  </si>
  <si>
    <t>Trex1</t>
  </si>
  <si>
    <t>5.59655427568937e-09</t>
  </si>
  <si>
    <t>Three prime repair exonuclease 1</t>
  </si>
  <si>
    <t>ENSMUSG00000001166</t>
  </si>
  <si>
    <t>Oas1c</t>
  </si>
  <si>
    <t>1.9927582788232e-08</t>
  </si>
  <si>
    <t>2'-5' oligoadenylate synthetase 1C</t>
  </si>
  <si>
    <t>ENSMUSG00000030187</t>
  </si>
  <si>
    <t>Klra2</t>
  </si>
  <si>
    <t>2.63985369529907e-05</t>
  </si>
  <si>
    <t>Killer cell lectin-like receptor, subfamily A, member 2</t>
  </si>
  <si>
    <t>ENSMUSG00000010095</t>
  </si>
  <si>
    <t>Slc3a2</t>
  </si>
  <si>
    <t>7.83826842913902e-11</t>
  </si>
  <si>
    <t>Solute carrier family 3 (activators of dibasic and neutral amino acid transport), member 2</t>
  </si>
  <si>
    <t>ENSMUSG00000030165</t>
  </si>
  <si>
    <t>Klrd1</t>
  </si>
  <si>
    <t>Killer cell lectin-like receptor, subfamily D, member 1</t>
  </si>
  <si>
    <t>8.20999931184665e-09</t>
  </si>
  <si>
    <t>C-C motif chemokine ligand 9</t>
  </si>
  <si>
    <t>ENSMUSG00000087651</t>
  </si>
  <si>
    <t>1500009L16Rik</t>
  </si>
  <si>
    <t>1.24499024132283e-07</t>
  </si>
  <si>
    <t>RIKEN cDNA 1500009L16 gene</t>
  </si>
  <si>
    <t>Interleukin 10 receptor, alpha</t>
  </si>
  <si>
    <t>ENSMUSG00000058163</t>
  </si>
  <si>
    <t>Gm5431</t>
  </si>
  <si>
    <t>6.41635134499372e-07</t>
  </si>
  <si>
    <t>Predicted gene 5431</t>
  </si>
  <si>
    <t>ENSMUSG00000049502</t>
  </si>
  <si>
    <t>Dtx3l</t>
  </si>
  <si>
    <t>2.67156860709389e-08</t>
  </si>
  <si>
    <t>Deltex 3-like, E3 ubiquitin ligase</t>
  </si>
  <si>
    <t>ENSMUSG00000028071</t>
  </si>
  <si>
    <t>Sh2d2a</t>
  </si>
  <si>
    <t>2.28932022077899e-05</t>
  </si>
  <si>
    <t>SH2 domain containing 2A</t>
  </si>
  <si>
    <t>ENSMUSG00000025491</t>
  </si>
  <si>
    <t>Ifitm1</t>
  </si>
  <si>
    <t>3.94187637095458e-12</t>
  </si>
  <si>
    <t>Interferon induced transmembrane protein 1</t>
  </si>
  <si>
    <t>ENSMUSG00000025172</t>
  </si>
  <si>
    <t>Ankrd2</t>
  </si>
  <si>
    <t>Ankyrin repeat domain 2</t>
  </si>
  <si>
    <t>ENSMUSG00000064215</t>
  </si>
  <si>
    <t>Ifi27</t>
  </si>
  <si>
    <t>4.10021450935646e-09</t>
  </si>
  <si>
    <t>Interferon, alpha-inducible protein 27</t>
  </si>
  <si>
    <t>ENSMUSG00000001281</t>
  </si>
  <si>
    <t>Itgb7</t>
  </si>
  <si>
    <t>Integrin beta 7</t>
  </si>
  <si>
    <t>ENSMUSG00000030966</t>
  </si>
  <si>
    <t>Trim21</t>
  </si>
  <si>
    <t>2.36295866639198e-08</t>
  </si>
  <si>
    <t>Tripartite motif-containing 21</t>
  </si>
  <si>
    <t>ENSMUSG00000004446</t>
  </si>
  <si>
    <t>Bid</t>
  </si>
  <si>
    <t>1.0125195182524e-06</t>
  </si>
  <si>
    <t>BH3 interacting domain death agonist</t>
  </si>
  <si>
    <t>ENSMUSG00000058755</t>
  </si>
  <si>
    <t>Osm</t>
  </si>
  <si>
    <t>6.46651833626739e-06</t>
  </si>
  <si>
    <t>Oncostatin M</t>
  </si>
  <si>
    <t>ENSMUSG00000040747</t>
  </si>
  <si>
    <t>Cd53</t>
  </si>
  <si>
    <t>1.02849088625463e-09</t>
  </si>
  <si>
    <t>CD53 antigen</t>
  </si>
  <si>
    <t>ENSMUSG00000006731</t>
  </si>
  <si>
    <t>B4galnt1</t>
  </si>
  <si>
    <t>2.8737263364387e-05</t>
  </si>
  <si>
    <t>Beta-1,4-N-acetyl-galactosaminyl transferase 1</t>
  </si>
  <si>
    <t>ENSMUSG00000020437</t>
  </si>
  <si>
    <t>Myo1g</t>
  </si>
  <si>
    <t>Myosin IG</t>
  </si>
  <si>
    <t>Interleukin 18</t>
  </si>
  <si>
    <t>ENSMUSG00000034947</t>
  </si>
  <si>
    <t>Tmem106a</t>
  </si>
  <si>
    <t>2.68897616079869e-06</t>
  </si>
  <si>
    <t>Transmembrane protein 106A</t>
  </si>
  <si>
    <t>ENSMUSG00000038147</t>
  </si>
  <si>
    <t>Cd84</t>
  </si>
  <si>
    <t>1.34614248081584e-05</t>
  </si>
  <si>
    <t>CD84 antigen</t>
  </si>
  <si>
    <t>ENSMUSG00000003545</t>
  </si>
  <si>
    <t>Fosb</t>
  </si>
  <si>
    <t>1.00710635156064e-05</t>
  </si>
  <si>
    <t>FBJ osteosarcoma oncogene B</t>
  </si>
  <si>
    <t>ENSMUSG00000022876</t>
  </si>
  <si>
    <t>Samsn1</t>
  </si>
  <si>
    <t>SAM domain, SH3 domain and nuclear localization signals, 1</t>
  </si>
  <si>
    <t>ENSMUSG00000027995</t>
  </si>
  <si>
    <t>Tlr2</t>
  </si>
  <si>
    <t>3.25024872253118e-07</t>
  </si>
  <si>
    <t>Toll-like receptor 2</t>
  </si>
  <si>
    <t>ENSMUSG00000044827</t>
  </si>
  <si>
    <t>Tlr1</t>
  </si>
  <si>
    <t>3.93784252076953e-06</t>
  </si>
  <si>
    <t>Toll-like receptor 1</t>
  </si>
  <si>
    <t>ENSMUSG00000072600</t>
  </si>
  <si>
    <t>Ear-ps9</t>
  </si>
  <si>
    <t>Eosinophil-associated, ribonuclease A family, pseudogene 9</t>
  </si>
  <si>
    <t>ENSMUSG00000020865</t>
  </si>
  <si>
    <t>Abcc3</t>
  </si>
  <si>
    <t>6.09461669331945e-05</t>
  </si>
  <si>
    <t>ATP-binding cassette, sub-family C member 3</t>
  </si>
  <si>
    <t>ENSMUSG00000021886</t>
  </si>
  <si>
    <t>Gpr65</t>
  </si>
  <si>
    <t>1.03000170431158e-06</t>
  </si>
  <si>
    <t>G-protein coupled receptor 65</t>
  </si>
  <si>
    <t>ENSMUSG00000021250</t>
  </si>
  <si>
    <t>Fos</t>
  </si>
  <si>
    <t>6.56036390881412e-05</t>
  </si>
  <si>
    <t>FBJ osteosarcoma oncogene</t>
  </si>
  <si>
    <t>1.72748069582955e-08</t>
  </si>
  <si>
    <t>Tumor necrosis factor receptor superfamily, member 1b</t>
  </si>
  <si>
    <t>ENSMUSG00000021614</t>
  </si>
  <si>
    <t>Vcan</t>
  </si>
  <si>
    <t>Versican</t>
  </si>
  <si>
    <t>ENSMUSG00000037095</t>
  </si>
  <si>
    <t>Lrg1</t>
  </si>
  <si>
    <t>1.72282764321855e-05</t>
  </si>
  <si>
    <t>Leucine-rich alpha-2-glycoprotein 1</t>
  </si>
  <si>
    <t>ENSMUSG00000052837</t>
  </si>
  <si>
    <t>Junb</t>
  </si>
  <si>
    <t>4.8940690145578e-09</t>
  </si>
  <si>
    <t>Jun B proto-oncogene</t>
  </si>
  <si>
    <t>ENSMUSG00000001627</t>
  </si>
  <si>
    <t>Ifrd1</t>
  </si>
  <si>
    <t>Interferon-related developmental regulator 1</t>
  </si>
  <si>
    <t>ENSMUSG00000021880</t>
  </si>
  <si>
    <t>Rnase6</t>
  </si>
  <si>
    <t>Ribonuclease, RNase A family, 6</t>
  </si>
  <si>
    <t>ENSMUSG00000023067</t>
  </si>
  <si>
    <t>Cdkn1a</t>
  </si>
  <si>
    <t>4.1479945806671e-05</t>
  </si>
  <si>
    <t>Cyclin dependent kinase inhibitor 1A</t>
  </si>
  <si>
    <t>ENSMUSG00000074183</t>
  </si>
  <si>
    <t>Gsta1</t>
  </si>
  <si>
    <t>Glutathione S-transferase, alpha 1 (Ya)</t>
  </si>
  <si>
    <t>ENSMUSG00000015653</t>
  </si>
  <si>
    <t>Steap2</t>
  </si>
  <si>
    <t>3.59857498866405e-05</t>
  </si>
  <si>
    <t>Six transmembrane epithelial antigen of prostate 2</t>
  </si>
  <si>
    <t>ENSMUSG00000021922</t>
  </si>
  <si>
    <t>Itih4</t>
  </si>
  <si>
    <t>Inter alpha-trypsin inhibitor, heavy chain 4</t>
  </si>
  <si>
    <t>ENSMUSG00000004791</t>
  </si>
  <si>
    <t>Pgf</t>
  </si>
  <si>
    <t>Placental growth factor</t>
  </si>
  <si>
    <t>ENSMUSG00000025140</t>
  </si>
  <si>
    <t>Pycr1</t>
  </si>
  <si>
    <t>1.89340302036585e-06</t>
  </si>
  <si>
    <t>Pyrroline-5-carboxylate reductase 1</t>
  </si>
  <si>
    <t>ENSMUSG00000029254</t>
  </si>
  <si>
    <t>Stap1</t>
  </si>
  <si>
    <t>3.37417987703526e-05</t>
  </si>
  <si>
    <t>Signal transducing adaptor family member 1</t>
  </si>
  <si>
    <t>ENSMUSG00000025044</t>
  </si>
  <si>
    <t>Msr1</t>
  </si>
  <si>
    <t>Macrophage scavenger receptor 1</t>
  </si>
  <si>
    <t>ENSMUSG00000046223</t>
  </si>
  <si>
    <t>Plaur</t>
  </si>
  <si>
    <t>Plasminogen activator, urokinase receptor</t>
  </si>
  <si>
    <t>ENSMUSG00000026558</t>
  </si>
  <si>
    <t>Uck2</t>
  </si>
  <si>
    <t>4.21342248990061e-07</t>
  </si>
  <si>
    <t>Uridine-cytidine kinase 2</t>
  </si>
  <si>
    <t>ENSMUSG00000022871</t>
  </si>
  <si>
    <t>Fetub</t>
  </si>
  <si>
    <t>Fetuin beta</t>
  </si>
  <si>
    <t>ENSMUSG00000027962</t>
  </si>
  <si>
    <t>Vcam1</t>
  </si>
  <si>
    <t>3.3202617291001e-06</t>
  </si>
  <si>
    <t>Vascular cell adhesion molecule 1</t>
  </si>
  <si>
    <t>ENSMUSG00000039232</t>
  </si>
  <si>
    <t>Stx11</t>
  </si>
  <si>
    <t>Syntaxin 11</t>
  </si>
  <si>
    <t>ENSMUSG00000028841</t>
  </si>
  <si>
    <t>Cnksr1</t>
  </si>
  <si>
    <t>9.65103981157485e-07</t>
  </si>
  <si>
    <t>Connector enhancer of kinase suppressor of Ras 1</t>
  </si>
  <si>
    <t>ENSMUSG00000106407</t>
  </si>
  <si>
    <t>Gm43439</t>
  </si>
  <si>
    <t>5.22015688614296e-06</t>
  </si>
  <si>
    <t>Predicted gene 43439</t>
  </si>
  <si>
    <t>ENSMUSG00000038156</t>
  </si>
  <si>
    <t>Spon1</t>
  </si>
  <si>
    <t>4.42111398343778e-08</t>
  </si>
  <si>
    <t>Spondin 1, (f-spondin) extracellular matrix protein</t>
  </si>
  <si>
    <t>ENSMUSG00000079419</t>
  </si>
  <si>
    <t>Ms4a6c</t>
  </si>
  <si>
    <t>1.38902565379051e-05</t>
  </si>
  <si>
    <t>Membrane-spanning 4-domains, subfamily A, member 6C</t>
  </si>
  <si>
    <t>ENSMUSG00000039981</t>
  </si>
  <si>
    <t>Zc3h12d</t>
  </si>
  <si>
    <t>5.35606887820105e-06</t>
  </si>
  <si>
    <t>Zinc finger CCCH type containing 12D</t>
  </si>
  <si>
    <t>ENSMUSG00000022893</t>
  </si>
  <si>
    <t>Adamts1</t>
  </si>
  <si>
    <t>1.11718307886558e-05</t>
  </si>
  <si>
    <t>ADAM metallopeptidase with thrombospondin type 1 motif 1</t>
  </si>
  <si>
    <t>ENSMUSG00000026786</t>
  </si>
  <si>
    <t>Apbb1ip</t>
  </si>
  <si>
    <t>3.075267337976e-07</t>
  </si>
  <si>
    <t>Amyloid beta precursor protein binding family B member 1 interacting protein</t>
  </si>
  <si>
    <t>ENSMUSG00000025492</t>
  </si>
  <si>
    <t>Ifitm3</t>
  </si>
  <si>
    <t>1.6432868282076e-11</t>
  </si>
  <si>
    <t>Interferon induced transmembrane protein 3</t>
  </si>
  <si>
    <t>ENSMUSG00000017929</t>
  </si>
  <si>
    <t>B4galt5</t>
  </si>
  <si>
    <t>1.47303699873937e-06</t>
  </si>
  <si>
    <t>UDP-Gal:betaGlcNAc beta 1,4-galactosyltransferase, polypeptide 5</t>
  </si>
  <si>
    <t>ENSMUSG00000045502</t>
  </si>
  <si>
    <t>Hcar2</t>
  </si>
  <si>
    <t>4.67787207658605e-05</t>
  </si>
  <si>
    <t>Hydroxycarboxylic acid receptor 2</t>
  </si>
  <si>
    <t>ENSMUSG00000056271</t>
  </si>
  <si>
    <t>Lman1l</t>
  </si>
  <si>
    <t>Lectin, mannose-binding 1 like</t>
  </si>
  <si>
    <t>ENSMUSG00000038642</t>
  </si>
  <si>
    <t>Ctss</t>
  </si>
  <si>
    <t>1.26390760834669e-07</t>
  </si>
  <si>
    <t>Cathepsin S</t>
  </si>
  <si>
    <t>ENSMUSG00000029915</t>
  </si>
  <si>
    <t>Clec5a</t>
  </si>
  <si>
    <t>1.06830395591935e-06</t>
  </si>
  <si>
    <t>C-type lectin domain family 5, member a</t>
  </si>
  <si>
    <t>ENSMUSG00000024164</t>
  </si>
  <si>
    <t>C3</t>
  </si>
  <si>
    <t>1.65304880830004e-05</t>
  </si>
  <si>
    <t>Complement component 3</t>
  </si>
  <si>
    <t>4.84336614123204e-05</t>
  </si>
  <si>
    <t>Interleukin 6</t>
  </si>
  <si>
    <t>ILMN_2888191</t>
  </si>
  <si>
    <t>ENSMUSG00000071562</t>
  </si>
  <si>
    <t>Stfa1</t>
  </si>
  <si>
    <t>Stefin A1</t>
  </si>
  <si>
    <t>ENSMUSG00000058794</t>
  </si>
  <si>
    <t>Nfe2</t>
  </si>
  <si>
    <t>Nuclear factor, erythroid derived 2</t>
  </si>
  <si>
    <t>ENSMUSG00000046908</t>
  </si>
  <si>
    <t>Ltb4r1</t>
  </si>
  <si>
    <t>Leukotriene B4 receptor 1</t>
  </si>
  <si>
    <t>ENSMUSG00000055866</t>
  </si>
  <si>
    <t>Per2</t>
  </si>
  <si>
    <t>Period circadian clock 2</t>
  </si>
  <si>
    <t>ENSMUSG00000042622</t>
  </si>
  <si>
    <t>Maff</t>
  </si>
  <si>
    <t>8.85706348876323e-06</t>
  </si>
  <si>
    <t>V-maf musculoaponeurotic fibrosarcoma oncogene family, protein F (avian)</t>
  </si>
  <si>
    <t>ENSMUSG00000023349</t>
  </si>
  <si>
    <t>Clec4n</t>
  </si>
  <si>
    <t>C-type lectin domain family 4, member n</t>
  </si>
  <si>
    <t>ENSMUSG00000033220</t>
  </si>
  <si>
    <t>Rac2</t>
  </si>
  <si>
    <t>1.50674724389241e-05</t>
  </si>
  <si>
    <t>Rac family small GTPase 2</t>
  </si>
  <si>
    <t>ENSMUSG00000032515</t>
  </si>
  <si>
    <t>Csrnp1</t>
  </si>
  <si>
    <t>Cysteine-serine-rich nuclear protein 1</t>
  </si>
  <si>
    <t>ENSMUSG00000046879</t>
  </si>
  <si>
    <t>Irgm1</t>
  </si>
  <si>
    <t>Immunity-related GTPase family M member 1</t>
  </si>
  <si>
    <t>ENSMUSG00000027580</t>
  </si>
  <si>
    <t>Helz2</t>
  </si>
  <si>
    <t>Helicase with zinc finger 2, transcriptional coactivator</t>
  </si>
  <si>
    <t>ENSMUSG00000026548</t>
  </si>
  <si>
    <t>Slamf9</t>
  </si>
  <si>
    <t>SLAM family member 9</t>
  </si>
  <si>
    <t>ENSMUSG00000048852</t>
  </si>
  <si>
    <t>Gm12185</t>
  </si>
  <si>
    <t>Predicted gene 12185</t>
  </si>
  <si>
    <t>ENSMUSG00000044583</t>
  </si>
  <si>
    <t>Tlr7</t>
  </si>
  <si>
    <t>1.84549697035061e-07</t>
  </si>
  <si>
    <t>Toll-like receptor 7</t>
  </si>
  <si>
    <t>ENSMUSG00000041324</t>
  </si>
  <si>
    <t>Inhba</t>
  </si>
  <si>
    <t>Inhibin beta-A</t>
  </si>
  <si>
    <t>ENSMUSG00000028542</t>
  </si>
  <si>
    <t>Slc6a9</t>
  </si>
  <si>
    <t>2.21372327914286e-05</t>
  </si>
  <si>
    <t>Solute carrier family 6 (neurotransmitter transporter, glycine), member 9</t>
  </si>
  <si>
    <t>ENSMUSG00000039501</t>
  </si>
  <si>
    <t>Znfx1</t>
  </si>
  <si>
    <t>1.64356196315315e-07</t>
  </si>
  <si>
    <t>Zinc finger, NFX1-type containing 1</t>
  </si>
  <si>
    <t>ENSMUSG00000042759</t>
  </si>
  <si>
    <t>Apobr</t>
  </si>
  <si>
    <t>Apolipoprotein B receptor</t>
  </si>
  <si>
    <t>ENSMUSG00000024397</t>
  </si>
  <si>
    <t>Aif1</t>
  </si>
  <si>
    <t>Allograft inflammatory factor 1</t>
  </si>
  <si>
    <t>ENSMUSG00000057561</t>
  </si>
  <si>
    <t>Eif1a</t>
  </si>
  <si>
    <t>3.63923851021583e-06</t>
  </si>
  <si>
    <t>Eukaryotic translation initiation factor 1A</t>
  </si>
  <si>
    <t>ENSMUSG00000035673</t>
  </si>
  <si>
    <t>Sbno2</t>
  </si>
  <si>
    <t>4.87201860291838e-07</t>
  </si>
  <si>
    <t>Strawberry notch 2</t>
  </si>
  <si>
    <t>ENSMUSG00000038418</t>
  </si>
  <si>
    <t>Egr1</t>
  </si>
  <si>
    <t>Early growth response 1</t>
  </si>
  <si>
    <t>ENSMUSG00000079017</t>
  </si>
  <si>
    <t>Ifi27l2a</t>
  </si>
  <si>
    <t>7.11268510623999e-07</t>
  </si>
  <si>
    <t>Interferon, alpha-inducible protein 27 like 2A</t>
  </si>
  <si>
    <t>ENSMUSG00000021322</t>
  </si>
  <si>
    <t>Aoah</t>
  </si>
  <si>
    <t>1.37045784265356e-06</t>
  </si>
  <si>
    <t>Acyloxyacyl hydrolase</t>
  </si>
  <si>
    <t>ENSMUSG00000050075</t>
  </si>
  <si>
    <t>Gpr171</t>
  </si>
  <si>
    <t>G protein-coupled receptor 171</t>
  </si>
  <si>
    <t>ENSMUSG00000049401</t>
  </si>
  <si>
    <t>Ogfr</t>
  </si>
  <si>
    <t>3.47336756729808e-05</t>
  </si>
  <si>
    <t>Opioid growth factor receptor</t>
  </si>
  <si>
    <t>ENSMUSG00000024529</t>
  </si>
  <si>
    <t>Lox</t>
  </si>
  <si>
    <t>Lysyl oxidase</t>
  </si>
  <si>
    <t>ENSMUSG00000036986</t>
  </si>
  <si>
    <t>Pml</t>
  </si>
  <si>
    <t>2.65952710947405e-06</t>
  </si>
  <si>
    <t>Promyelocytic leukemia</t>
  </si>
  <si>
    <t>ILMN_2587721</t>
  </si>
  <si>
    <t>ENSMUSG00000052160</t>
  </si>
  <si>
    <t>Pld4</t>
  </si>
  <si>
    <t>6.66331860976669e-06</t>
  </si>
  <si>
    <t>Phospholipase D family member 4</t>
  </si>
  <si>
    <t>ENSMUSG00000028494</t>
  </si>
  <si>
    <t>Plin2</t>
  </si>
  <si>
    <t>Perilipin 2</t>
  </si>
  <si>
    <t>ENSMUSG00000022296</t>
  </si>
  <si>
    <t>Baalc</t>
  </si>
  <si>
    <t>2.70529769883316e-05</t>
  </si>
  <si>
    <t>Brain and acute leukemia, cytoplasmic</t>
  </si>
  <si>
    <t>ENSMUSG00000024308</t>
  </si>
  <si>
    <t>Tapbp</t>
  </si>
  <si>
    <t>TAP binding protein</t>
  </si>
  <si>
    <t>ENSMUSG00000074305</t>
  </si>
  <si>
    <t>Peak1</t>
  </si>
  <si>
    <t>1.05806008286247e-05</t>
  </si>
  <si>
    <t>Pseudopodium-enriched atypical kinase 1</t>
  </si>
  <si>
    <t>ENSMUSG00000063234</t>
  </si>
  <si>
    <t>Gpr84</t>
  </si>
  <si>
    <t>3.15876156071806e-05</t>
  </si>
  <si>
    <t>G protein-coupled receptor 84</t>
  </si>
  <si>
    <t>ENSMUSG00000004266</t>
  </si>
  <si>
    <t>Ptpn6</t>
  </si>
  <si>
    <t>6.14330656741678e-05</t>
  </si>
  <si>
    <t>Protein tyrosine phosphatase, non-receptor type 6</t>
  </si>
  <si>
    <t>ENSMUSG00000034463</t>
  </si>
  <si>
    <t>Scara3</t>
  </si>
  <si>
    <t>Scavenger receptor class A, member 3</t>
  </si>
  <si>
    <t>ENSMUSG00000057729</t>
  </si>
  <si>
    <t>Prtn3</t>
  </si>
  <si>
    <t>1.96331568626594e-05</t>
  </si>
  <si>
    <t>Proteinase 3</t>
  </si>
  <si>
    <t>ENSMUSG00000053093</t>
  </si>
  <si>
    <t>Myh7</t>
  </si>
  <si>
    <t>1.14777034711271e-05</t>
  </si>
  <si>
    <t>Myosin, heavy polypeptide 7, cardiac muscle, beta</t>
  </si>
  <si>
    <t>ENSMUSG00000047735</t>
  </si>
  <si>
    <t>Samd9l</t>
  </si>
  <si>
    <t>2.81978549972076e-07</t>
  </si>
  <si>
    <t>Sterile alpha motif domain containing 9-like</t>
  </si>
  <si>
    <t>ENSMUSG00000000730</t>
  </si>
  <si>
    <t>Dnmt3l</t>
  </si>
  <si>
    <t>DNA methyltransferase 3-like</t>
  </si>
  <si>
    <t>ENSMUSG00000040613</t>
  </si>
  <si>
    <t>Apobec1</t>
  </si>
  <si>
    <t>3.36365405049086e-07</t>
  </si>
  <si>
    <t>Apolipoprotein B mRNA editing enzyme, catalytic polypeptide 1</t>
  </si>
  <si>
    <t>ENSMUSG00000019832</t>
  </si>
  <si>
    <t>Rab32</t>
  </si>
  <si>
    <t>1.05428377123931e-05</t>
  </si>
  <si>
    <t>RAB32, member RAS oncogene family</t>
  </si>
  <si>
    <t>ENSMUSG00000075602</t>
  </si>
  <si>
    <t>Ly6a</t>
  </si>
  <si>
    <t>3.95924675462746e-08</t>
  </si>
  <si>
    <t>Lymphocyte antigen 6 family member A</t>
  </si>
  <si>
    <t>ENSMUSG00000022902</t>
  </si>
  <si>
    <t>Stfa2</t>
  </si>
  <si>
    <t>Stefin A2</t>
  </si>
  <si>
    <t>ENSMUSG00000025324</t>
  </si>
  <si>
    <t>Atp10a</t>
  </si>
  <si>
    <t>ATPase, class V, type 10A</t>
  </si>
  <si>
    <t>ENSMUSG00000025511</t>
  </si>
  <si>
    <t>Tspan4</t>
  </si>
  <si>
    <t>9.28419950274102e-05</t>
  </si>
  <si>
    <t>Tetraspanin 4</t>
  </si>
  <si>
    <t>ENSMUSG00000021062</t>
  </si>
  <si>
    <t>Rab15</t>
  </si>
  <si>
    <t>9.37788149585107e-05</t>
  </si>
  <si>
    <t>RAB15, member RAS oncogene family</t>
  </si>
  <si>
    <t>ENSMUSG00000002227</t>
  </si>
  <si>
    <t>Mov10</t>
  </si>
  <si>
    <t>Mov10 RISC complex RNA helicase</t>
  </si>
  <si>
    <t>ENSMUSG00000039519</t>
  </si>
  <si>
    <t>Cyp7b1</t>
  </si>
  <si>
    <t>5.36443047870757e-06</t>
  </si>
  <si>
    <t>Cytochrome P450, family 7, subfamily b, polypeptide 1</t>
  </si>
  <si>
    <t>ENSMUSG00000040543</t>
  </si>
  <si>
    <t>Pitpnm3</t>
  </si>
  <si>
    <t>PITPNM family member 3</t>
  </si>
  <si>
    <t>Interleukin 20 receptor beta</t>
  </si>
  <si>
    <t>ENSMUSG00000079012</t>
  </si>
  <si>
    <t>Serpina3m</t>
  </si>
  <si>
    <t>Serine (or cysteine) peptidase inhibitor, clade A, member 3M</t>
  </si>
  <si>
    <t>ENSMUSG00000038179</t>
  </si>
  <si>
    <t>Slamf7</t>
  </si>
  <si>
    <t>SLAM family member 7</t>
  </si>
  <si>
    <t>ENSMUSG00000022587</t>
  </si>
  <si>
    <t>Ly6e</t>
  </si>
  <si>
    <t>1.18374316445792e-06</t>
  </si>
  <si>
    <t>Lymphocyte antigen 6 family member E</t>
  </si>
  <si>
    <t>ENSMUSG00000040435</t>
  </si>
  <si>
    <t>Ppp1r15a</t>
  </si>
  <si>
    <t>4.45883439596975e-06</t>
  </si>
  <si>
    <t>Protein phosphatase 1, regulatory subunit 15A</t>
  </si>
  <si>
    <t>ENSMUSG00000014813</t>
  </si>
  <si>
    <t>Stc1</t>
  </si>
  <si>
    <t>Stanniocalcin 1</t>
  </si>
  <si>
    <t>ENSMUSG00000026088</t>
  </si>
  <si>
    <t>Mitd1</t>
  </si>
  <si>
    <t>8.92419813915363e-09</t>
  </si>
  <si>
    <t>MIT, microtubule interacting and transport, domain containing 1</t>
  </si>
  <si>
    <t>ENSMUSG00000034467</t>
  </si>
  <si>
    <t>Dynlrb2</t>
  </si>
  <si>
    <t>Dynein light chain roadblock-type 2</t>
  </si>
  <si>
    <t>ENSMUSG00000002602</t>
  </si>
  <si>
    <t>Axl</t>
  </si>
  <si>
    <t>3.14411364900372e-05</t>
  </si>
  <si>
    <t>AXL receptor tyrosine kinase</t>
  </si>
  <si>
    <t>ENSMUSG00000037816</t>
  </si>
  <si>
    <t>Fbxw17</t>
  </si>
  <si>
    <t>F-box and WD-40 domain protein 17</t>
  </si>
  <si>
    <t>ENSMUSG00000057933</t>
  </si>
  <si>
    <t>Gsta2</t>
  </si>
  <si>
    <t>Glutathione S-transferase, alpha 2 (Yc2)</t>
  </si>
  <si>
    <t>ENSMUSG00000031897</t>
  </si>
  <si>
    <t>Psmb10</t>
  </si>
  <si>
    <t>4.6491608020318e-05</t>
  </si>
  <si>
    <t>Proteasome (prosome, macropain) subunit, beta type 10</t>
  </si>
  <si>
    <t>ENSMUSG00000054520</t>
  </si>
  <si>
    <t>Sh3bp2</t>
  </si>
  <si>
    <t>SH3-domain binding protein 2</t>
  </si>
  <si>
    <t>ENSMUSG00000007888</t>
  </si>
  <si>
    <t>Crlf1</t>
  </si>
  <si>
    <t>Cytokine receptor-like factor 1</t>
  </si>
  <si>
    <t>ENSMUSG00000021360</t>
  </si>
  <si>
    <t>Gcnt2</t>
  </si>
  <si>
    <t>3.26539948936032e-05</t>
  </si>
  <si>
    <t>Glucosaminyl (N-acetyl) transferase 2 (I blood group)</t>
  </si>
  <si>
    <t>ENSMUSG00000011008</t>
  </si>
  <si>
    <t>Mcoln2</t>
  </si>
  <si>
    <t>Mucolipin 2</t>
  </si>
  <si>
    <t>ENSMUSG00000026656</t>
  </si>
  <si>
    <t>Fcgr2b</t>
  </si>
  <si>
    <t>2.08836154916883e-05</t>
  </si>
  <si>
    <t>Fc receptor, IgG, low affinity IIb</t>
  </si>
  <si>
    <t>ENSMUSG00000055541</t>
  </si>
  <si>
    <t>Lair1</t>
  </si>
  <si>
    <t>Leukocyte-associated Ig-like receptor 1</t>
  </si>
  <si>
    <t>ENSMUSG00000026435</t>
  </si>
  <si>
    <t>Slc45a3</t>
  </si>
  <si>
    <t>Solute carrier family 45, member 3</t>
  </si>
  <si>
    <t>ENSMUSG00000021242</t>
  </si>
  <si>
    <t>Npc2</t>
  </si>
  <si>
    <t>1.96155698059654e-09</t>
  </si>
  <si>
    <t>NPC intracellular cholesterol transporter 2</t>
  </si>
  <si>
    <t>ENSMUSG00000021840</t>
  </si>
  <si>
    <t>Mapk1ip1l</t>
  </si>
  <si>
    <t>6.79317867707085e-06</t>
  </si>
  <si>
    <t>Mitogen-activated protein kinase 1 interacting protein 1-like</t>
  </si>
  <si>
    <t>ENSMUSG00000027347</t>
  </si>
  <si>
    <t>Rasgrp1</t>
  </si>
  <si>
    <t>RAS guanyl releasing protein 1</t>
  </si>
  <si>
    <t>ENSMUSG00000034266</t>
  </si>
  <si>
    <t>Batf</t>
  </si>
  <si>
    <t>Basic leucine zipper transcription factor, ATF-like</t>
  </si>
  <si>
    <t>ENSMUSG00000007659</t>
  </si>
  <si>
    <t>Bcl2l1</t>
  </si>
  <si>
    <t>BCL2-like 1</t>
  </si>
  <si>
    <t>ENSMUSG00000024965</t>
  </si>
  <si>
    <t>Fermt3</t>
  </si>
  <si>
    <t>1.62676658230055e-05</t>
  </si>
  <si>
    <t>Fermitin family member 3</t>
  </si>
  <si>
    <t>ENSMUSG00000018143</t>
  </si>
  <si>
    <t>Mafk</t>
  </si>
  <si>
    <t>V-maf musculoaponeurotic fibrosarcoma oncogene family, protein K (avian)</t>
  </si>
  <si>
    <t>ENSMUSG00000041736</t>
  </si>
  <si>
    <t>Tspo</t>
  </si>
  <si>
    <t>9.72957285319775e-08</t>
  </si>
  <si>
    <t>Translocator protein</t>
  </si>
  <si>
    <t>ENSMUSG00000043668</t>
  </si>
  <si>
    <t>Tox3</t>
  </si>
  <si>
    <t>4.42177732346844e-06</t>
  </si>
  <si>
    <t>TOX high mobility group box family member 3</t>
  </si>
  <si>
    <t>ENSMUSG00000018500</t>
  </si>
  <si>
    <t>Adora2b</t>
  </si>
  <si>
    <t>2.76439344313714e-05</t>
  </si>
  <si>
    <t>Adenosine A2b receptor</t>
  </si>
  <si>
    <t>ENSMUSG00000022346</t>
  </si>
  <si>
    <t>Myc</t>
  </si>
  <si>
    <t>1.00161301347453e-05</t>
  </si>
  <si>
    <t>Myelocytomatosis oncogene</t>
  </si>
  <si>
    <t>ENSMUSG00000035273</t>
  </si>
  <si>
    <t>Hpse</t>
  </si>
  <si>
    <t>Heparanase</t>
  </si>
  <si>
    <t>ENSMUSG00000056737</t>
  </si>
  <si>
    <t>Capg</t>
  </si>
  <si>
    <t>9.09882586574323e-06</t>
  </si>
  <si>
    <t>Capping actin protein, gelsolin like</t>
  </si>
  <si>
    <t>ENSMUSG00000096727</t>
  </si>
  <si>
    <t>Psmb9</t>
  </si>
  <si>
    <t>Proteasome (prosome, macropain) subunit, beta type 9 (large multifunctional peptidase 2)</t>
  </si>
  <si>
    <t>ENSMUSG00000000275</t>
  </si>
  <si>
    <t>Trim25</t>
  </si>
  <si>
    <t>1.75637150043762e-05</t>
  </si>
  <si>
    <t>Tripartite motif-containing 25</t>
  </si>
  <si>
    <t>ENSMUSG00000034116</t>
  </si>
  <si>
    <t>Vav1</t>
  </si>
  <si>
    <t>Vav 1 oncogene</t>
  </si>
  <si>
    <t>ENSMUSG00000013584</t>
  </si>
  <si>
    <t>Aldh1a2</t>
  </si>
  <si>
    <t>Aldehyde dehydrogenase family 1, subfamily A2</t>
  </si>
  <si>
    <t>ENSMUSG00000024885</t>
  </si>
  <si>
    <t>Aldh3b1</t>
  </si>
  <si>
    <t>Aldehyde dehydrogenase 3 family, member B1</t>
  </si>
  <si>
    <t>ENSMUSG00000028382</t>
  </si>
  <si>
    <t>Ptbp3</t>
  </si>
  <si>
    <t>6.82282301202958e-07</t>
  </si>
  <si>
    <t>Polypyrimidine tract binding protein 3</t>
  </si>
  <si>
    <t>ENSMUSG00000003541</t>
  </si>
  <si>
    <t>Ier3</t>
  </si>
  <si>
    <t>Immediate early response 3</t>
  </si>
  <si>
    <t>ENSMUSG00000033295</t>
  </si>
  <si>
    <t>Ptprf</t>
  </si>
  <si>
    <t>1.95619432141436e-05</t>
  </si>
  <si>
    <t>Protein tyrosine phosphatase receptor type F</t>
  </si>
  <si>
    <t>ENSMUSG00000001750</t>
  </si>
  <si>
    <t>Tcirg1</t>
  </si>
  <si>
    <t>T cell, immune regulator 1, ATPase, H+ transporting, lysosomal V0 protein A3</t>
  </si>
  <si>
    <t>ENSMUSG00000034825</t>
  </si>
  <si>
    <t>Nrip3</t>
  </si>
  <si>
    <t>Nuclear receptor interacting protein 3</t>
  </si>
  <si>
    <t>ILMN_2504268</t>
  </si>
  <si>
    <t>ENSMUSG00000022766</t>
  </si>
  <si>
    <t>Serpind1</t>
  </si>
  <si>
    <t>Serine (or cysteine) peptidase inhibitor, clade D, member 1</t>
  </si>
  <si>
    <t>ENSMUSG00000047407</t>
  </si>
  <si>
    <t>Tgif1</t>
  </si>
  <si>
    <t>1.71458199824639e-08</t>
  </si>
  <si>
    <t>TGFB-induced factor homeobox 1</t>
  </si>
  <si>
    <t>ENSMUSG00000091401</t>
  </si>
  <si>
    <t>Gm9252</t>
  </si>
  <si>
    <t>1.54856258870487e-06</t>
  </si>
  <si>
    <t>Predicted gene 9252</t>
  </si>
  <si>
    <t>ENSMUSG00000044786</t>
  </si>
  <si>
    <t>Zfp36</t>
  </si>
  <si>
    <t>4.5813669374824e-06</t>
  </si>
  <si>
    <t>Zinc finger protein 36</t>
  </si>
  <si>
    <t>ENSMUSG00000030142</t>
  </si>
  <si>
    <t>Clec4e</t>
  </si>
  <si>
    <t>1.7394606128556e-05</t>
  </si>
  <si>
    <t>C-type lectin domain family 4, member e</t>
  </si>
  <si>
    <t>ENSMUSG00000024730</t>
  </si>
  <si>
    <t>Ms4a8a</t>
  </si>
  <si>
    <t>Membrane-spanning 4-domains, subfamily A, member 8A</t>
  </si>
  <si>
    <t>ENSMUSG00000020407</t>
  </si>
  <si>
    <t>Upp1</t>
  </si>
  <si>
    <t>2.33047084218822e-05</t>
  </si>
  <si>
    <t>Uridine phosphorylase 1</t>
  </si>
  <si>
    <t>ENSMUSG00000118669</t>
  </si>
  <si>
    <t>Arvcf</t>
  </si>
  <si>
    <t>Armadillo repeat gene deleted in velocardiofacial syndrome</t>
  </si>
  <si>
    <t>ENSMUSG00000032322</t>
  </si>
  <si>
    <t>Pstpip1</t>
  </si>
  <si>
    <t>Proline-serine-threonine phosphatase-interacting protein 1</t>
  </si>
  <si>
    <t>ENSMUSG00000036931</t>
  </si>
  <si>
    <t>Nfkbid</t>
  </si>
  <si>
    <t>Nuclear factor of kappa light polypeptide gene enhancer in B cells inhibitor, delta</t>
  </si>
  <si>
    <t>ENSMUSG00000032508</t>
  </si>
  <si>
    <t>Myd88</t>
  </si>
  <si>
    <t>Myeloid differentiation primary response gene 88</t>
  </si>
  <si>
    <t>ENSMUSG00000004626</t>
  </si>
  <si>
    <t>Stxbp2</t>
  </si>
  <si>
    <t>Syntaxin binding protein 2</t>
  </si>
  <si>
    <t>ENSMUSG00000023905</t>
  </si>
  <si>
    <t>Tnfrsf12a</t>
  </si>
  <si>
    <t>3.17780327188296e-05</t>
  </si>
  <si>
    <t>Tumor necrosis factor receptor superfamily, member 12a</t>
  </si>
  <si>
    <t>ENSMUSG00000039488</t>
  </si>
  <si>
    <t>Cntn5</t>
  </si>
  <si>
    <t>1.46360615489299e-05</t>
  </si>
  <si>
    <t>Contactin 5</t>
  </si>
  <si>
    <t>ENSMUSG00000038213</t>
  </si>
  <si>
    <t>Tapbpl</t>
  </si>
  <si>
    <t>5.69673073378941e-07</t>
  </si>
  <si>
    <t>TAP binding protein-like</t>
  </si>
  <si>
    <t>ENSMUSG00000026271</t>
  </si>
  <si>
    <t>Gpr35</t>
  </si>
  <si>
    <t>G protein-coupled receptor 35</t>
  </si>
  <si>
    <t>ENSMUSG00000038618</t>
  </si>
  <si>
    <t>Rassf7</t>
  </si>
  <si>
    <t>9.3732781502523e-05</t>
  </si>
  <si>
    <t>Ras association (RalGDS/AF-6) domain family (N-terminal) member 7</t>
  </si>
  <si>
    <t>ENSMUSG00000025647</t>
  </si>
  <si>
    <t>Shisa5</t>
  </si>
  <si>
    <t>9.91134130056047e-08</t>
  </si>
  <si>
    <t>Shisa family member 5</t>
  </si>
  <si>
    <t>ENSMUSG00000041773</t>
  </si>
  <si>
    <t>Enc1</t>
  </si>
  <si>
    <t>Ectodermal-neural cortex 1</t>
  </si>
  <si>
    <t>ENSMUSG00000078606</t>
  </si>
  <si>
    <t>Gvin2</t>
  </si>
  <si>
    <t>GTPase, very large interferon inducible, family member 2</t>
  </si>
  <si>
    <t>ENSMUSG00000015652</t>
  </si>
  <si>
    <t>Steap1</t>
  </si>
  <si>
    <t>Six transmembrane epithelial antigen of the prostate 1</t>
  </si>
  <si>
    <t>ENSMUSG00000057982</t>
  </si>
  <si>
    <t>Zfp809</t>
  </si>
  <si>
    <t>1.70970704415288e-07</t>
  </si>
  <si>
    <t>Zinc finger protein 809</t>
  </si>
  <si>
    <t>ENSMUSG00000030707</t>
  </si>
  <si>
    <t>Coro1a</t>
  </si>
  <si>
    <t>Coronin, actin binding protein 1A</t>
  </si>
  <si>
    <t>ILMN_1244821</t>
  </si>
  <si>
    <t>ENSMUSG00000060594</t>
  </si>
  <si>
    <t>Layn</t>
  </si>
  <si>
    <t>Layilin</t>
  </si>
  <si>
    <t>ENSMUSG00000050345</t>
  </si>
  <si>
    <t>4930486L24Rik</t>
  </si>
  <si>
    <t>RIKEN cDNA 4930486L24 gene</t>
  </si>
  <si>
    <t>ENSMUSG00000060802</t>
  </si>
  <si>
    <t>B2m</t>
  </si>
  <si>
    <t>4.19974640170798e-08</t>
  </si>
  <si>
    <t>Beta-2 microglobulin</t>
  </si>
  <si>
    <t>ENSMUSG00000070780</t>
  </si>
  <si>
    <t>Rbm47</t>
  </si>
  <si>
    <t>5.20519709505483e-05</t>
  </si>
  <si>
    <t>RNA binding motif protein 47</t>
  </si>
  <si>
    <t>ENSMUSG00000043929</t>
  </si>
  <si>
    <t>Klhl15</t>
  </si>
  <si>
    <t>9.05073031967582e-06</t>
  </si>
  <si>
    <t>Kelch-like 15</t>
  </si>
  <si>
    <t>ENSMUSG00000074923</t>
  </si>
  <si>
    <t>Pak6</t>
  </si>
  <si>
    <t>P21 (RAC1) activated kinase 6</t>
  </si>
  <si>
    <t>ENSMUSG00000026321</t>
  </si>
  <si>
    <t>Tnfrsf11a</t>
  </si>
  <si>
    <t>4.69235161697095e-06</t>
  </si>
  <si>
    <t>Tumor necrosis factor receptor superfamily, member 11a, NFKB activator</t>
  </si>
  <si>
    <t>ENSMUSG00000003617</t>
  </si>
  <si>
    <t>Cp</t>
  </si>
  <si>
    <t>Ceruloplasmin</t>
  </si>
  <si>
    <t>ENSMUSG00000024677</t>
  </si>
  <si>
    <t>Ms4a6b</t>
  </si>
  <si>
    <t>Membrane-spanning 4-domains, subfamily A, member 6B</t>
  </si>
  <si>
    <t>ENSMUSG00000048865</t>
  </si>
  <si>
    <t>Arhgap30</t>
  </si>
  <si>
    <t>Rho GTPase activating protein 30</t>
  </si>
  <si>
    <t>ENSMUSG00000029330</t>
  </si>
  <si>
    <t>Cds1</t>
  </si>
  <si>
    <t>5.8743786980479e-05</t>
  </si>
  <si>
    <t>CDP-diacylglycerol synthase 1</t>
  </si>
  <si>
    <t>ENSMUSG00000022500</t>
  </si>
  <si>
    <t>Litaf</t>
  </si>
  <si>
    <t>2.75731349858909e-05</t>
  </si>
  <si>
    <t>LPS-induced TN factor</t>
  </si>
  <si>
    <t>ENSMUSG00000076441</t>
  </si>
  <si>
    <t>Ass1</t>
  </si>
  <si>
    <t>2.27375547537978e-06</t>
  </si>
  <si>
    <t>Argininosuccinate synthetase 1</t>
  </si>
  <si>
    <t>ENSMUSG00000026430</t>
  </si>
  <si>
    <t>Rassf5</t>
  </si>
  <si>
    <t>1.04021286052914e-06</t>
  </si>
  <si>
    <t>Ras association (RalGDS/AF-6) domain family member 5</t>
  </si>
  <si>
    <t>ENSMUSG00000017697</t>
  </si>
  <si>
    <t>Ada</t>
  </si>
  <si>
    <t>Adenosine deaminase</t>
  </si>
  <si>
    <t>ENSMUSG00000051682</t>
  </si>
  <si>
    <t>Treml4</t>
  </si>
  <si>
    <t>9.86155902854793e-05</t>
  </si>
  <si>
    <t>Triggering receptor expressed on myeloid cells-like 4</t>
  </si>
  <si>
    <t>ENSMUSG00000024910</t>
  </si>
  <si>
    <t>Ctsw</t>
  </si>
  <si>
    <t>Cathepsin W</t>
  </si>
  <si>
    <t>ENSMUSG00000063445</t>
  </si>
  <si>
    <t>Nmral1</t>
  </si>
  <si>
    <t>1.54136562332832e-05</t>
  </si>
  <si>
    <t>NmrA-like family domain containing 1</t>
  </si>
  <si>
    <t>ENSMUSG00000023913</t>
  </si>
  <si>
    <t>Pla2g7</t>
  </si>
  <si>
    <t>Phospholipase A2, group VII (platelet-activating factor acetylhydrolase, plasma)</t>
  </si>
  <si>
    <t>ENSMUSG00000026222</t>
  </si>
  <si>
    <t>Sp100</t>
  </si>
  <si>
    <t>3.56166467575023e-05</t>
  </si>
  <si>
    <t>Nuclear antigen Sp100</t>
  </si>
  <si>
    <t>ENSMUSG00000032193</t>
  </si>
  <si>
    <t>Ldlr</t>
  </si>
  <si>
    <t>1.2299113713585e-05</t>
  </si>
  <si>
    <t>Low density lipoprotein receptor</t>
  </si>
  <si>
    <t>C-C motif chemokine ligand 6</t>
  </si>
  <si>
    <t>ENSMUSG00000028890</t>
  </si>
  <si>
    <t>Mtf1</t>
  </si>
  <si>
    <t>Metal response element binding transcription factor 1</t>
  </si>
  <si>
    <t>ENSMUSG00000034652</t>
  </si>
  <si>
    <t>Cd300a</t>
  </si>
  <si>
    <t>4.59157474901979e-05</t>
  </si>
  <si>
    <t>CD300A molecule</t>
  </si>
  <si>
    <t>ENSMUSG00000068758</t>
  </si>
  <si>
    <t>Il3ra</t>
  </si>
  <si>
    <t>Interleukin 3 receptor, alpha chain</t>
  </si>
  <si>
    <t>ENSMUSG00000029826</t>
  </si>
  <si>
    <t>Zc3hav1</t>
  </si>
  <si>
    <t>Zinc finger CCCH type, antiviral 1</t>
  </si>
  <si>
    <t>ENSMUSG00000018654</t>
  </si>
  <si>
    <t>Ikzf1</t>
  </si>
  <si>
    <t>2.94969642859656e-05</t>
  </si>
  <si>
    <t>IKAROS family zinc finger 1</t>
  </si>
  <si>
    <t>ENSMUSG00000022831</t>
  </si>
  <si>
    <t>Hcls1</t>
  </si>
  <si>
    <t>Hematopoietic cell specific Lyn substrate 1</t>
  </si>
  <si>
    <t>ENSMUSG00000030579</t>
  </si>
  <si>
    <t>Tyrobp</t>
  </si>
  <si>
    <t>TYRO protein tyrosine kinase binding protein</t>
  </si>
  <si>
    <t>ENSMUSG00000051498</t>
  </si>
  <si>
    <t>Tlr6</t>
  </si>
  <si>
    <t>Toll-like receptor 6</t>
  </si>
  <si>
    <t>ENSMUSG00000030830</t>
  </si>
  <si>
    <t>Itgal</t>
  </si>
  <si>
    <t>Integrin alpha L</t>
  </si>
  <si>
    <t>ENSMUSG00000018920</t>
  </si>
  <si>
    <t>Cxcl16</t>
  </si>
  <si>
    <t>C-X-C motif chemokine ligand 16</t>
  </si>
  <si>
    <t>ENSMUSG00000028124</t>
  </si>
  <si>
    <t>Gclm</t>
  </si>
  <si>
    <t>Glutamate-cysteine ligase, modifier subunit</t>
  </si>
  <si>
    <t>ENSMUSG00000039782</t>
  </si>
  <si>
    <t>Cpeb2</t>
  </si>
  <si>
    <t>Cytoplasmic polyadenylation element binding protein 2</t>
  </si>
  <si>
    <t>ENSMUSG00000047945</t>
  </si>
  <si>
    <t>Marcksl1</t>
  </si>
  <si>
    <t>5.57474804291254e-07</t>
  </si>
  <si>
    <t>MARCKS-like 1</t>
  </si>
  <si>
    <t>ENSMUSG00000034616</t>
  </si>
  <si>
    <t>Ssh3</t>
  </si>
  <si>
    <t>1.1783898203723e-05</t>
  </si>
  <si>
    <t>Slingshot protein phosphatase 3</t>
  </si>
  <si>
    <t>ENSMUSG00000039899</t>
  </si>
  <si>
    <t>Fgl2</t>
  </si>
  <si>
    <t>8.60300855259976e-06</t>
  </si>
  <si>
    <t>Fibrinogen-like protein 2</t>
  </si>
  <si>
    <t>ENSMUSG00000039230</t>
  </si>
  <si>
    <t>Tbcd</t>
  </si>
  <si>
    <t>Tubulin-specific chaperone d</t>
  </si>
  <si>
    <t>ENSMUSG00000058624</t>
  </si>
  <si>
    <t>Gda</t>
  </si>
  <si>
    <t>Guanine deaminase</t>
  </si>
  <si>
    <t>ENSMUSG00000056888</t>
  </si>
  <si>
    <t>Glipr1</t>
  </si>
  <si>
    <t>GLI pathogenesis related 1</t>
  </si>
  <si>
    <t>ENSMUSG00000013846</t>
  </si>
  <si>
    <t>St3gal1</t>
  </si>
  <si>
    <t>ST3 beta-galactoside alpha-2,3-sialyltransferase 1</t>
  </si>
  <si>
    <t>ENSMUSG00000058252</t>
  </si>
  <si>
    <t>Tcp11x2</t>
  </si>
  <si>
    <t>T-complex 11 family, X-linked 2</t>
  </si>
  <si>
    <t>ENSMUSG00000033022</t>
  </si>
  <si>
    <t>Cdo1</t>
  </si>
  <si>
    <t>Cysteine dioxygenase 1, cytosolic</t>
  </si>
  <si>
    <t>ENSMUSG00000026600</t>
  </si>
  <si>
    <t>Soat1</t>
  </si>
  <si>
    <t>Sterol O-acyltransferase 1</t>
  </si>
  <si>
    <t>ENSMUSG00000021751</t>
  </si>
  <si>
    <t>Acox2</t>
  </si>
  <si>
    <t>Acyl-Coenzyme A oxidase 2, branched chain</t>
  </si>
  <si>
    <t>ENSMUSG00000035517</t>
  </si>
  <si>
    <t>Tdrd7</t>
  </si>
  <si>
    <t>1.9720300032584e-05</t>
  </si>
  <si>
    <t>Tudor domain containing 7</t>
  </si>
  <si>
    <t>ENSMUSG00000118291</t>
  </si>
  <si>
    <t>Csf1r-ps</t>
  </si>
  <si>
    <t>Colony stimulating factor 1 receptor (granulocyte), pseudogene</t>
  </si>
  <si>
    <t>ENSMUSG00000000290</t>
  </si>
  <si>
    <t>Itgb2</t>
  </si>
  <si>
    <t>6.19701519624921e-05</t>
  </si>
  <si>
    <t>Integrin beta 2</t>
  </si>
  <si>
    <t>ENSMUSG00000030681</t>
  </si>
  <si>
    <t>Mvp</t>
  </si>
  <si>
    <t>1.73667884258171e-05</t>
  </si>
  <si>
    <t>Major vault protein</t>
  </si>
  <si>
    <t>ENSMUSG00000000957</t>
  </si>
  <si>
    <t>Mmp14</t>
  </si>
  <si>
    <t>Matrix metallopeptidase 14 (membrane-inserted)</t>
  </si>
  <si>
    <t>ENSMUSG00000019590</t>
  </si>
  <si>
    <t>Cyb561</t>
  </si>
  <si>
    <t>1.61970980044964e-06</t>
  </si>
  <si>
    <t>Cytochrome b-561</t>
  </si>
  <si>
    <t>ENSMUSG00000049562</t>
  </si>
  <si>
    <t>Ap5b1</t>
  </si>
  <si>
    <t>Adaptor-related protein complex 5, beta 1 subunit</t>
  </si>
  <si>
    <t>ENSMUSG00000003206</t>
  </si>
  <si>
    <t>Ebi3</t>
  </si>
  <si>
    <t>Epstein-Barr virus induced gene 3</t>
  </si>
  <si>
    <t>ENSMUSG00000023224</t>
  </si>
  <si>
    <t>Serping1</t>
  </si>
  <si>
    <t>1.07916785237834e-07</t>
  </si>
  <si>
    <t>Serine (or cysteine) peptidase inhibitor, clade G, member 1</t>
  </si>
  <si>
    <t>ILMN_1229173</t>
  </si>
  <si>
    <t>ENSMUSG00000020893</t>
  </si>
  <si>
    <t>Per1</t>
  </si>
  <si>
    <t>Period circadian clock 1</t>
  </si>
  <si>
    <t>ENSMUSG00000057191</t>
  </si>
  <si>
    <t>AB124611</t>
  </si>
  <si>
    <t>CDNA sequence AB124611</t>
  </si>
  <si>
    <t>ENSMUSG00000025888</t>
  </si>
  <si>
    <t>Casp1</t>
  </si>
  <si>
    <t>4.61472309177918e-05</t>
  </si>
  <si>
    <t>Caspase 1</t>
  </si>
  <si>
    <t>ENSMUSG00000031939</t>
  </si>
  <si>
    <t>Taf1d</t>
  </si>
  <si>
    <t>TATA-box binding protein associated factor, RNA polymerase I, D</t>
  </si>
  <si>
    <t>ENSMUSG00000021904</t>
  </si>
  <si>
    <t>Sema3g</t>
  </si>
  <si>
    <t>Sema domain, immunoglobulin domain (Ig), short basic domain, secreted, (semaphorin) 3G</t>
  </si>
  <si>
    <t>ENSMUSG00000027951</t>
  </si>
  <si>
    <t>Adar</t>
  </si>
  <si>
    <t>2.22034583885761e-06</t>
  </si>
  <si>
    <t>Adenosine deaminase, RNA-specific</t>
  </si>
  <si>
    <t>ENSMUSG00000090084</t>
  </si>
  <si>
    <t>Srpx</t>
  </si>
  <si>
    <t>Sushi-repeat-containing protein</t>
  </si>
  <si>
    <t>C-X-C motif chemokine ligand 2</t>
  </si>
  <si>
    <t>ENSMUSG00000028893</t>
  </si>
  <si>
    <t>Sesn2</t>
  </si>
  <si>
    <t>1.83535606232364e-05</t>
  </si>
  <si>
    <t>Sestrin 2</t>
  </si>
  <si>
    <t>ENSMUSG00000023367</t>
  </si>
  <si>
    <t>Tmem176a</t>
  </si>
  <si>
    <t>Transmembrane protein 176A</t>
  </si>
  <si>
    <t>ENSMUSG00000024472</t>
  </si>
  <si>
    <t>Dcp2</t>
  </si>
  <si>
    <t>6.19059308959143e-05</t>
  </si>
  <si>
    <t>Decapping mRNA 2</t>
  </si>
  <si>
    <t>ENSMUSG00000008540</t>
  </si>
  <si>
    <t>Mgst1</t>
  </si>
  <si>
    <t>Microsomal glutathione S-transferase 1</t>
  </si>
  <si>
    <t>ENSMUSG00000050359</t>
  </si>
  <si>
    <t>Sprr1a</t>
  </si>
  <si>
    <t>Small proline-rich protein 1A</t>
  </si>
  <si>
    <t>ENSMUSG00000038244</t>
  </si>
  <si>
    <t>Mical2</t>
  </si>
  <si>
    <t>Microtubule associated monooxygenase, calponin and LIM domain containing 2</t>
  </si>
  <si>
    <t>ENSMUSG00000058126</t>
  </si>
  <si>
    <t>Tpm3-rs7</t>
  </si>
  <si>
    <t>3.68692164621459e-08</t>
  </si>
  <si>
    <t>Tropomyosin 3, related sequence 7</t>
  </si>
  <si>
    <t>ENSMUSG00000066705</t>
  </si>
  <si>
    <t>Fxyd6</t>
  </si>
  <si>
    <t>4.76478323395511e-05</t>
  </si>
  <si>
    <t>FXYD domain-containing ion transport regulator 6</t>
  </si>
  <si>
    <t>ENSMUSG00000000555</t>
  </si>
  <si>
    <t>Itga5</t>
  </si>
  <si>
    <t>Integrin alpha 5 (fibronectin receptor alpha)</t>
  </si>
  <si>
    <t>ENSMUSG00000021460</t>
  </si>
  <si>
    <t>Auh</t>
  </si>
  <si>
    <t>AU RNA binding protein/enoyl-coenzyme A hydratase</t>
  </si>
  <si>
    <t>ENSMUSG00000020458</t>
  </si>
  <si>
    <t>Rtn4</t>
  </si>
  <si>
    <t>Reticulon 4</t>
  </si>
  <si>
    <t>ENSMUSG00000042417</t>
  </si>
  <si>
    <t>Ccno</t>
  </si>
  <si>
    <t>Cyclin O</t>
  </si>
  <si>
    <t>ENSMUSG00000051314</t>
  </si>
  <si>
    <t>Ffar2</t>
  </si>
  <si>
    <t>Free fatty acid receptor 2</t>
  </si>
  <si>
    <t>ENSMUSG00000041057</t>
  </si>
  <si>
    <t>Wdr43</t>
  </si>
  <si>
    <t>3.13394915727481e-05</t>
  </si>
  <si>
    <t>WD repeat domain 43</t>
  </si>
  <si>
    <t>ENSMUSG00000004359</t>
  </si>
  <si>
    <t>Spic</t>
  </si>
  <si>
    <t>4.46360126144238e-05</t>
  </si>
  <si>
    <t>Spi-C transcription factor (Spi-1/PU.1 related)</t>
  </si>
  <si>
    <t>ENSMUSG00000033508</t>
  </si>
  <si>
    <t>Asprv1</t>
  </si>
  <si>
    <t>Aspartic peptidase, retroviral-like 1</t>
  </si>
  <si>
    <t>ENSMUSG00000021998</t>
  </si>
  <si>
    <t>Lcp1</t>
  </si>
  <si>
    <t>Lymphocyte cytosolic protein 1</t>
  </si>
  <si>
    <t>ENSMUSG00000022533</t>
  </si>
  <si>
    <t>Atp13a3</t>
  </si>
  <si>
    <t>ATPase type 13A3</t>
  </si>
  <si>
    <t>ENSMUSG00000014791</t>
  </si>
  <si>
    <t>Elmo3</t>
  </si>
  <si>
    <t>Engulfment and cell motility 3</t>
  </si>
  <si>
    <t>ENSMUSG00000053025</t>
  </si>
  <si>
    <t>Sv2b</t>
  </si>
  <si>
    <t>Synaptic vesicle glycoprotein 2b</t>
  </si>
  <si>
    <t>ENSMUSG00000046027</t>
  </si>
  <si>
    <t>Stard5</t>
  </si>
  <si>
    <t>1.50101014935934e-08</t>
  </si>
  <si>
    <t>StAR related lipid transfer domain containing 5</t>
  </si>
  <si>
    <t>ENSMUSG00000001128</t>
  </si>
  <si>
    <t>Cfp</t>
  </si>
  <si>
    <t>Complement factor properdin</t>
  </si>
  <si>
    <t>ENSMUSG00000075122</t>
  </si>
  <si>
    <t>Cd80</t>
  </si>
  <si>
    <t>4.08335977929335e-05</t>
  </si>
  <si>
    <t>CD80 antigen</t>
  </si>
  <si>
    <t>ENSMUSG00000039701</t>
  </si>
  <si>
    <t>Usp53</t>
  </si>
  <si>
    <t>Ubiquitin specific peptidase 53</t>
  </si>
  <si>
    <t>ENSMUSG00000026171</t>
  </si>
  <si>
    <t>Rnf25</t>
  </si>
  <si>
    <t>9.59037971006777e-05</t>
  </si>
  <si>
    <t>Ring finger protein 25</t>
  </si>
  <si>
    <t>ENSMUSG00000035711</t>
  </si>
  <si>
    <t>Dok3</t>
  </si>
  <si>
    <t>Docking protein 3</t>
  </si>
  <si>
    <t>ENSMUSG00000029381</t>
  </si>
  <si>
    <t>Shroom3</t>
  </si>
  <si>
    <t>3.62932565481684e-06</t>
  </si>
  <si>
    <t>Shroom family member 3</t>
  </si>
  <si>
    <t>ENSMUSG00000031101</t>
  </si>
  <si>
    <t>Sash3</t>
  </si>
  <si>
    <t>SAM and SH3 domain containing 3</t>
  </si>
  <si>
    <t>ENSMUSG00000073433</t>
  </si>
  <si>
    <t>Arhgdig</t>
  </si>
  <si>
    <t>Rho GDP dissociation inhibitor gamma</t>
  </si>
  <si>
    <t>ENSMUSG00000030717</t>
  </si>
  <si>
    <t>Nupr1</t>
  </si>
  <si>
    <t>6.91594886519206e-05</t>
  </si>
  <si>
    <t>Nuclear protein transcription regulator 1</t>
  </si>
  <si>
    <t>ENSMUSG00000025877</t>
  </si>
  <si>
    <t>Hk3</t>
  </si>
  <si>
    <t>Hexokinase 3</t>
  </si>
  <si>
    <t>ENSMUSG00000031538</t>
  </si>
  <si>
    <t>Plat</t>
  </si>
  <si>
    <t>5.70833478796012e-07</t>
  </si>
  <si>
    <t>Plasminogen activator, tissue</t>
  </si>
  <si>
    <t>ENSMUSG00000063558</t>
  </si>
  <si>
    <t>Aox1</t>
  </si>
  <si>
    <t>Aldehyde oxidase 1</t>
  </si>
  <si>
    <t>ENSMUSG00000035258</t>
  </si>
  <si>
    <t>Abi3bp</t>
  </si>
  <si>
    <t>ABI family member 3 binding protein</t>
  </si>
  <si>
    <t>ENSMUSG00000060216</t>
  </si>
  <si>
    <t>Arrb2</t>
  </si>
  <si>
    <t>5.57946924351694e-05</t>
  </si>
  <si>
    <t>Arrestin, beta 2</t>
  </si>
  <si>
    <t>Interleukin 2 receptor, gamma chain</t>
  </si>
  <si>
    <t>ENSMUSG00000014543</t>
  </si>
  <si>
    <t>Klra17</t>
  </si>
  <si>
    <t>Killer cell lectin-like receptor, subfamily A, member 17</t>
  </si>
  <si>
    <t>ILMN_2820893</t>
  </si>
  <si>
    <t>ENSMUSG00000043300</t>
  </si>
  <si>
    <t>B3galnt1</t>
  </si>
  <si>
    <t>3.56163070536025e-05</t>
  </si>
  <si>
    <t>UDP-GalNAc:betaGlcNAc beta 1,3-galactosaminyltransferase, polypeptide 1</t>
  </si>
  <si>
    <t>ENSMUSG00000032369</t>
  </si>
  <si>
    <t>Plscr1</t>
  </si>
  <si>
    <t>7.18705230858549e-06</t>
  </si>
  <si>
    <t>Phospholipid scramblase 1</t>
  </si>
  <si>
    <t>ENSMUSG00000040473</t>
  </si>
  <si>
    <t>Cfap69</t>
  </si>
  <si>
    <t>Cilia and flagella associated protein 69</t>
  </si>
  <si>
    <t>ENSMUSG00000069792</t>
  </si>
  <si>
    <t>Wfdc17</t>
  </si>
  <si>
    <t>WAP four-disulfide core domain 17</t>
  </si>
  <si>
    <t>ENSMUSG00000002307</t>
  </si>
  <si>
    <t>Daxx</t>
  </si>
  <si>
    <t>7.61898745114577e-08</t>
  </si>
  <si>
    <t>Fas death domain-associated protein</t>
  </si>
  <si>
    <t>ENSMUSG00000096696</t>
  </si>
  <si>
    <t>Zfp960</t>
  </si>
  <si>
    <t>Zinc finger protein 960</t>
  </si>
  <si>
    <t>ENSMUSG00000020057</t>
  </si>
  <si>
    <t>Dram1</t>
  </si>
  <si>
    <t>1.29301115764383e-05</t>
  </si>
  <si>
    <t>DNA-damage regulated autophagy modulator 1</t>
  </si>
  <si>
    <t>ENSMUSG00000002983</t>
  </si>
  <si>
    <t>Relb</t>
  </si>
  <si>
    <t>6.25285253615909e-07</t>
  </si>
  <si>
    <t>Avian reticuloendotheliosis viral (v-rel) oncogene related B</t>
  </si>
  <si>
    <t>ENSMUSG00000028480</t>
  </si>
  <si>
    <t>Glipr2</t>
  </si>
  <si>
    <t>GLI pathogenesis-related 2</t>
  </si>
  <si>
    <t>ENSMUSG00000031264</t>
  </si>
  <si>
    <t>Btk</t>
  </si>
  <si>
    <t>Bruton agammaglobulinemia tyrosine kinase</t>
  </si>
  <si>
    <t>ENSMUSG00000019577</t>
  </si>
  <si>
    <t>Pdk4</t>
  </si>
  <si>
    <t>Pyruvate dehydrogenase kinase, isoenzyme 4</t>
  </si>
  <si>
    <t>ENSMUSG00000025372</t>
  </si>
  <si>
    <t>Baiap2</t>
  </si>
  <si>
    <t>Brain-specific angiogenesis inhibitor 1-associated protein 2</t>
  </si>
  <si>
    <t>ENSMUSG00000048677</t>
  </si>
  <si>
    <t>Tpcn2</t>
  </si>
  <si>
    <t>Two pore segment channel 2</t>
  </si>
  <si>
    <t>ENSMUSG00000049988</t>
  </si>
  <si>
    <t>Lrrc25</t>
  </si>
  <si>
    <t>8.14848426424527e-05</t>
  </si>
  <si>
    <t>Leucine rich repeat containing 25</t>
  </si>
  <si>
    <t>ENSMUSG00000041515</t>
  </si>
  <si>
    <t>Irf8</t>
  </si>
  <si>
    <t>4.28647735728769e-07</t>
  </si>
  <si>
    <t>Interferon regulatory factor 8</t>
  </si>
  <si>
    <t>ENSMUSG00000028654</t>
  </si>
  <si>
    <t>Mycl</t>
  </si>
  <si>
    <t>V-myc avian myelocytomatosis viral oncogene lung carcinoma derived</t>
  </si>
  <si>
    <t>ENSMUSG00000042349</t>
  </si>
  <si>
    <t>Ikbke</t>
  </si>
  <si>
    <t>Inhibitor of kappaB kinase epsilon</t>
  </si>
  <si>
    <t>ENSMUSG00000002992</t>
  </si>
  <si>
    <t>Apoc2</t>
  </si>
  <si>
    <t>Apolipoprotein C2</t>
  </si>
  <si>
    <t>ENSMUSG00000028420</t>
  </si>
  <si>
    <t>Tmem38b</t>
  </si>
  <si>
    <t>7.36610051457683e-05</t>
  </si>
  <si>
    <t>Transmembrane protein 38B</t>
  </si>
  <si>
    <t>ENSMUSG00000023348</t>
  </si>
  <si>
    <t>Trip6</t>
  </si>
  <si>
    <t>Thyroid hormone receptor interactor 6</t>
  </si>
  <si>
    <t>ENSMUSG00000019823</t>
  </si>
  <si>
    <t>Mical1</t>
  </si>
  <si>
    <t>4.64128355696454e-06</t>
  </si>
  <si>
    <t>Microtubule associated monooxygenase, calponin and LIM domain containing 1</t>
  </si>
  <si>
    <t>ENSMUSG00000032372</t>
  </si>
  <si>
    <t>Plscr2</t>
  </si>
  <si>
    <t>9.85614934928724e-08</t>
  </si>
  <si>
    <t>Phospholipid scramblase 2</t>
  </si>
  <si>
    <t>ENSMUSG00000028583</t>
  </si>
  <si>
    <t>Pdpn</t>
  </si>
  <si>
    <t>Podoplanin</t>
  </si>
  <si>
    <t>ENSMUSG00000026479</t>
  </si>
  <si>
    <t>Lamc2</t>
  </si>
  <si>
    <t>Laminin, gamma 2</t>
  </si>
  <si>
    <t>ENSMUSG00000026288</t>
  </si>
  <si>
    <t>Inpp5d</t>
  </si>
  <si>
    <t>Inositol polyphosphate-5-phosphatase D</t>
  </si>
  <si>
    <t>ENSMUSG00000067338</t>
  </si>
  <si>
    <t>Tuba3b</t>
  </si>
  <si>
    <t>Tubulin, alpha 3B</t>
  </si>
  <si>
    <t>ENSMUSG00000039903</t>
  </si>
  <si>
    <t>Eva1c</t>
  </si>
  <si>
    <t>Eva-1 homolog C</t>
  </si>
  <si>
    <t>ENSMUSG00000090166</t>
  </si>
  <si>
    <t>Ear10</t>
  </si>
  <si>
    <t>Eosinophil-associated, ribonuclease A family, member 10</t>
  </si>
  <si>
    <t>ENSMUSG00000022602</t>
  </si>
  <si>
    <t>Arc</t>
  </si>
  <si>
    <t>Activity regulated cytoskeletal-associated protein</t>
  </si>
  <si>
    <t>ENSMUSG00000026177</t>
  </si>
  <si>
    <t>Slc11a1</t>
  </si>
  <si>
    <t>6.8252824600014e-05</t>
  </si>
  <si>
    <t>Solute carrier family 11 (proton-coupled divalent metal ion transporters), member 1</t>
  </si>
  <si>
    <t>ENSMUSG00000000409</t>
  </si>
  <si>
    <t>Lck</t>
  </si>
  <si>
    <t>Lymphocyte protein tyrosine kinase</t>
  </si>
  <si>
    <t>ENSMUSG00000063564</t>
  </si>
  <si>
    <t>Col23a1</t>
  </si>
  <si>
    <t>Collagen, type XXIII, alpha 1</t>
  </si>
  <si>
    <t>ENSMUSG00000110104</t>
  </si>
  <si>
    <t>Gm45717</t>
  </si>
  <si>
    <t>3.72773110661964e-07</t>
  </si>
  <si>
    <t>Predicted gene 45717</t>
  </si>
  <si>
    <t>ENSMUSG00000024339</t>
  </si>
  <si>
    <t>Tap2</t>
  </si>
  <si>
    <t>Transporter 2, ATP-binding cassette, sub-family B (MDR/TAP)</t>
  </si>
  <si>
    <t>ENSMUSG00000022351</t>
  </si>
  <si>
    <t>Sqle</t>
  </si>
  <si>
    <t>Squalene epoxidase</t>
  </si>
  <si>
    <t>ENSMUSG00000034708</t>
  </si>
  <si>
    <t>Grn</t>
  </si>
  <si>
    <t>Granulin</t>
  </si>
  <si>
    <t>ENSMUSG00000078771</t>
  </si>
  <si>
    <t>Evi2a</t>
  </si>
  <si>
    <t>Ecotropic viral integration site 2a</t>
  </si>
  <si>
    <t>ILMN_2829457</t>
  </si>
  <si>
    <t>Tumor necrosis factor receptor superfamily, member 1a</t>
  </si>
  <si>
    <t>ENSMUSG00000074063</t>
  </si>
  <si>
    <t>Osgin1</t>
  </si>
  <si>
    <t>Oxidative stress induced growth inhibitor 1</t>
  </si>
  <si>
    <t>ENSMUSG00000031165</t>
  </si>
  <si>
    <t>Was</t>
  </si>
  <si>
    <t>9.10914482076584e-05</t>
  </si>
  <si>
    <t>Wiskott-Aldrich syndrome</t>
  </si>
  <si>
    <t>ENSMUSG00000031838</t>
  </si>
  <si>
    <t>Ifi30</t>
  </si>
  <si>
    <t>Interferon gamma inducible protein 30</t>
  </si>
  <si>
    <t>ENSMUSG00000081665</t>
  </si>
  <si>
    <t>Pira1</t>
  </si>
  <si>
    <t>Paired-Ig-like receptor A1</t>
  </si>
  <si>
    <t>ENSMUSG00000008384</t>
  </si>
  <si>
    <t>Sertad1</t>
  </si>
  <si>
    <t>3.8073104328459e-06</t>
  </si>
  <si>
    <t>SERTA domain containing 1</t>
  </si>
  <si>
    <t>ENSMUSG00000038521</t>
  </si>
  <si>
    <t>C1s1</t>
  </si>
  <si>
    <t>5.18789052872186e-05</t>
  </si>
  <si>
    <t>Complement component 1, s subcomponent 1</t>
  </si>
  <si>
    <t>ENSMUSG00000025007</t>
  </si>
  <si>
    <t>Aldh18a1</t>
  </si>
  <si>
    <t>Aldehyde dehydrogenase 18 family, member A1</t>
  </si>
  <si>
    <t>ENSMUSG00000074604</t>
  </si>
  <si>
    <t>Mgst2</t>
  </si>
  <si>
    <t>Microsomal glutathione S-transferase 2</t>
  </si>
  <si>
    <t>ENSMUSG00000033192</t>
  </si>
  <si>
    <t>Lpcat2</t>
  </si>
  <si>
    <t>Lysophosphatidylcholine acyltransferase 2</t>
  </si>
  <si>
    <t>ENSMUSG00000028793</t>
  </si>
  <si>
    <t>Rnf19b</t>
  </si>
  <si>
    <t>3.20230806537799e-06</t>
  </si>
  <si>
    <t>Ring finger protein 19B</t>
  </si>
  <si>
    <t>ENSMUSG00000008496</t>
  </si>
  <si>
    <t>Pou2f2</t>
  </si>
  <si>
    <t>POU domain, class 2, transcription factor 2</t>
  </si>
  <si>
    <t>ENSMUSG00000060187</t>
  </si>
  <si>
    <t>Lrrc10</t>
  </si>
  <si>
    <t>Leucine rich repeat containing 10</t>
  </si>
  <si>
    <t>ENSMUSG00000030587</t>
  </si>
  <si>
    <t>2200002D01Rik</t>
  </si>
  <si>
    <t>RIKEN cDNA 2200002D01 gene</t>
  </si>
  <si>
    <t>ENSMUSG00000049580</t>
  </si>
  <si>
    <t>Tsku</t>
  </si>
  <si>
    <t>Tsukushi, small leucine rich proteoglycan</t>
  </si>
  <si>
    <t>ENSMUSG00000068417</t>
  </si>
  <si>
    <t>Pnp2</t>
  </si>
  <si>
    <t>Purine-nucleoside phosphorylase 2</t>
  </si>
  <si>
    <t>ENSMUSG00000005087</t>
  </si>
  <si>
    <t>Cd44</t>
  </si>
  <si>
    <t>CD44 antigen</t>
  </si>
  <si>
    <t>ENSMUSG00000035049</t>
  </si>
  <si>
    <t>Rrp12</t>
  </si>
  <si>
    <t>8.86751447832553e-05</t>
  </si>
  <si>
    <t>Ribosomal RNA processing 12 homolog</t>
  </si>
  <si>
    <t>ENSMUSG00000031805</t>
  </si>
  <si>
    <t>Jak3</t>
  </si>
  <si>
    <t>Janus kinase 3</t>
  </si>
  <si>
    <t>ENSMUSG00000021423</t>
  </si>
  <si>
    <t>Ly86</t>
  </si>
  <si>
    <t>Lymphocyte antigen 86</t>
  </si>
  <si>
    <t>ENSMUSG00000075012</t>
  </si>
  <si>
    <t>Fjx1</t>
  </si>
  <si>
    <t>Four jointed box 1</t>
  </si>
  <si>
    <t>ENSMUSG00000017009</t>
  </si>
  <si>
    <t>Sdc4</t>
  </si>
  <si>
    <t>Syndecan 4</t>
  </si>
  <si>
    <t>ENSMUSG00000034684</t>
  </si>
  <si>
    <t>Sema3f</t>
  </si>
  <si>
    <t>Sema domain, immunoglobulin domain (Ig), short basic domain, secreted, (semaphorin) 3F</t>
  </si>
  <si>
    <t>ENSMUSG00000034591</t>
  </si>
  <si>
    <t>Slc41a2</t>
  </si>
  <si>
    <t>Solute carrier family 41, member 2</t>
  </si>
  <si>
    <t>ENSMUSG00000029994</t>
  </si>
  <si>
    <t>Anxa4</t>
  </si>
  <si>
    <t>6.21002816953422e-05</t>
  </si>
  <si>
    <t>Annexin A4</t>
  </si>
  <si>
    <t>ENSMUSG00000020250</t>
  </si>
  <si>
    <t>Txnrd1</t>
  </si>
  <si>
    <t>Thioredoxin reductase 1</t>
  </si>
  <si>
    <t>ENSMUSG00000030905</t>
  </si>
  <si>
    <t>Crym</t>
  </si>
  <si>
    <t>Crystallin, mu</t>
  </si>
  <si>
    <t>ENSMUSG00000000326</t>
  </si>
  <si>
    <t>Comt</t>
  </si>
  <si>
    <t>8.26771187181223e-06</t>
  </si>
  <si>
    <t>Catechol-O-methyltransferase</t>
  </si>
  <si>
    <t>ENSMUSG00000027438</t>
  </si>
  <si>
    <t>Napb</t>
  </si>
  <si>
    <t>N-ethylmaleimide sensitive fusion protein attachment protein beta</t>
  </si>
  <si>
    <t>ENSMUSG00000030711</t>
  </si>
  <si>
    <t>Sult1a1</t>
  </si>
  <si>
    <t>Sulfotransferase family 1A, phenol-preferring, member 1</t>
  </si>
  <si>
    <t>ENSMUSG00000037860</t>
  </si>
  <si>
    <t>Aim2</t>
  </si>
  <si>
    <t>Absent in melanoma 2</t>
  </si>
  <si>
    <t>ENSMUSG00000028885</t>
  </si>
  <si>
    <t>Smpdl3b</t>
  </si>
  <si>
    <t>Sphingomyelin phosphodiesterase, acid-like 3B</t>
  </si>
  <si>
    <t>ENSMUSG00000024300</t>
  </si>
  <si>
    <t>Myo1f</t>
  </si>
  <si>
    <t>Myosin IF</t>
  </si>
  <si>
    <t>ENSMUSG00000022246</t>
  </si>
  <si>
    <t>Rai14</t>
  </si>
  <si>
    <t>Retinoic acid induced 14</t>
  </si>
  <si>
    <t>ENSMUSG00000064109</t>
  </si>
  <si>
    <t>Hcst</t>
  </si>
  <si>
    <t>Hematopoietic cell signal transducer</t>
  </si>
  <si>
    <t>ENSMUSG00000079018</t>
  </si>
  <si>
    <t>Ly6c1</t>
  </si>
  <si>
    <t>Lymphocyte antigen 6 family member C1</t>
  </si>
  <si>
    <t>ENSMUSG00000022575</t>
  </si>
  <si>
    <t>Gsdmd</t>
  </si>
  <si>
    <t>Gasdermin D</t>
  </si>
  <si>
    <t>ENSMUSG00000059182</t>
  </si>
  <si>
    <t>Skap2</t>
  </si>
  <si>
    <t>2.03066946323335e-05</t>
  </si>
  <si>
    <t>Src family associated phosphoprotein 2</t>
  </si>
  <si>
    <t>ENSMUSG00000030774</t>
  </si>
  <si>
    <t>Pak1</t>
  </si>
  <si>
    <t>P21 (RAC1) activated kinase 1</t>
  </si>
  <si>
    <t>ENSMUSG00000020656</t>
  </si>
  <si>
    <t>Grhl1</t>
  </si>
  <si>
    <t>Grainyhead like transcription factor 1</t>
  </si>
  <si>
    <t>ENSMUSG00000090165</t>
  </si>
  <si>
    <t>Ugt1a10</t>
  </si>
  <si>
    <t>UDP glycosyltransferase 1 family, polypeptide A10</t>
  </si>
  <si>
    <t>ENSMUSG00000026283</t>
  </si>
  <si>
    <t>Ing5</t>
  </si>
  <si>
    <t>Inhibitor of growth family, member 5</t>
  </si>
  <si>
    <t>ENSMUSG00000024235</t>
  </si>
  <si>
    <t>Map3k8</t>
  </si>
  <si>
    <t>Mitogen-activated protein kinase kinase kinase 8</t>
  </si>
  <si>
    <t>ENSMUSG00000123461</t>
  </si>
  <si>
    <t>Gm68326</t>
  </si>
  <si>
    <t>Predicted gene, 68326</t>
  </si>
  <si>
    <t>ENSMUSG00000001227</t>
  </si>
  <si>
    <t>Sema6b</t>
  </si>
  <si>
    <t>Sema domain, transmembrane domain (TM), and cytoplasmic domain, (semaphorin) 6B</t>
  </si>
  <si>
    <t>ENSMUSG00000031906</t>
  </si>
  <si>
    <t>Smpd3</t>
  </si>
  <si>
    <t>Sphingomyelin phosphodiesterase 3, neutral</t>
  </si>
  <si>
    <t>ENSMUSG00000022952</t>
  </si>
  <si>
    <t>Runx1</t>
  </si>
  <si>
    <t>Runt related transcription factor 1</t>
  </si>
  <si>
    <t>ENSMUSG00000024539</t>
  </si>
  <si>
    <t>Ptpn2</t>
  </si>
  <si>
    <t>Protein tyrosine phosphatase, non-receptor type 2</t>
  </si>
  <si>
    <t>ENSMUSG00000070427</t>
  </si>
  <si>
    <t>Il18bp</t>
  </si>
  <si>
    <t>Interleukin 18 binding protein</t>
  </si>
  <si>
    <t>ENSMUSG00000060063</t>
  </si>
  <si>
    <t>Alox5ap</t>
  </si>
  <si>
    <t>Arachidonate 5-lipoxygenase activating protein</t>
  </si>
  <si>
    <t>ENSMUSG00000030147</t>
  </si>
  <si>
    <t>Clec4b1</t>
  </si>
  <si>
    <t>C-type lectin domain family 4, member b1</t>
  </si>
  <si>
    <t>ILMN_3001914</t>
  </si>
  <si>
    <t>7.27339914021431e-05</t>
  </si>
  <si>
    <t>ENSMUSG00000051790</t>
  </si>
  <si>
    <t>Nlgn2</t>
  </si>
  <si>
    <t>Neuroligin 2</t>
  </si>
  <si>
    <t>ENSMUSG00000039376</t>
  </si>
  <si>
    <t>Synpo2l</t>
  </si>
  <si>
    <t>Synaptopodin 2-like</t>
  </si>
  <si>
    <t>ENSMUSG00000040751</t>
  </si>
  <si>
    <t>Lat2</t>
  </si>
  <si>
    <t>Linker for activation of T cells family, member 2</t>
  </si>
  <si>
    <t>ENSMUSG00000020990</t>
  </si>
  <si>
    <t>Cdkl1</t>
  </si>
  <si>
    <t>Cyclin dependent kinase like 1</t>
  </si>
  <si>
    <t>ENSMUSG00000091971</t>
  </si>
  <si>
    <t>Hspa1a</t>
  </si>
  <si>
    <t>Heat shock protein 1A</t>
  </si>
  <si>
    <t>ENSMUSG00000026380</t>
  </si>
  <si>
    <t>Tfcp2l1</t>
  </si>
  <si>
    <t>Transcription factor CP2-like 1</t>
  </si>
  <si>
    <t>ENSMUSG00000035493</t>
  </si>
  <si>
    <t>Tgfbi</t>
  </si>
  <si>
    <t>Transforming growth factor, beta induced</t>
  </si>
  <si>
    <t>ENSMUSG00000013974</t>
  </si>
  <si>
    <t>Mcemp1</t>
  </si>
  <si>
    <t>7.77248555024783e-05</t>
  </si>
  <si>
    <t>Mast cell expressed membrane protein 1</t>
  </si>
  <si>
    <t>ENSMUSG00000045210</t>
  </si>
  <si>
    <t>Vcpip1</t>
  </si>
  <si>
    <t>Valosin containing protein (p97)/p47 complex interacting protein 1</t>
  </si>
  <si>
    <t>ENSMUSG00000097006</t>
  </si>
  <si>
    <t>9530082P21Rik</t>
  </si>
  <si>
    <t>RIKEN cDNA 9530082P21 gene</t>
  </si>
  <si>
    <t>ENSMUSG00000001473</t>
  </si>
  <si>
    <t>Tubb6</t>
  </si>
  <si>
    <t>Tubulin, beta 6 class V</t>
  </si>
  <si>
    <t>ENSMUSG00000030595</t>
  </si>
  <si>
    <t>Nfkbib</t>
  </si>
  <si>
    <t>Nuclear factor of kappa light polypeptide gene enhancer in B cells inhibitor, beta</t>
  </si>
  <si>
    <t>ENSMUSG00000014763</t>
  </si>
  <si>
    <t>Fam120b</t>
  </si>
  <si>
    <t>Family with sequence similarity 120, member B</t>
  </si>
  <si>
    <t>ENSMUSG00000028967</t>
  </si>
  <si>
    <t>Errfi1</t>
  </si>
  <si>
    <t>ERBB receptor feedback inhibitor 1</t>
  </si>
  <si>
    <t>ENSMUSG00000028931</t>
  </si>
  <si>
    <t>Kcnab2</t>
  </si>
  <si>
    <t>Potassium voltage-gated channel, shaker-related subfamily, beta member 2</t>
  </si>
  <si>
    <t>ENSMUSG00000021903</t>
  </si>
  <si>
    <t>Galnt15</t>
  </si>
  <si>
    <t>Polypeptide N-acetylgalactosaminyltransferase 15</t>
  </si>
  <si>
    <t>ENSMUSG00000083041</t>
  </si>
  <si>
    <t>Gmfg-ps</t>
  </si>
  <si>
    <t>Glia maturation factor, gamma, pseudogene</t>
  </si>
  <si>
    <t>ENSMUSG00000038301</t>
  </si>
  <si>
    <t>Snx10</t>
  </si>
  <si>
    <t>Sorting nexin 10</t>
  </si>
  <si>
    <t>ENSMUSG00000039463</t>
  </si>
  <si>
    <t>Slc9a8</t>
  </si>
  <si>
    <t>2.52503428767965e-06</t>
  </si>
  <si>
    <t>Solute carrier family 9 (sodium/hydrogen exchanger), member 8</t>
  </si>
  <si>
    <t>ENSMUSG00000000078</t>
  </si>
  <si>
    <t>Klf6</t>
  </si>
  <si>
    <t>Kruppel-like transcription factor 6</t>
  </si>
  <si>
    <t>ENSMUSG00000029378</t>
  </si>
  <si>
    <t>Areg</t>
  </si>
  <si>
    <t>Amphiregulin</t>
  </si>
  <si>
    <t>ENSMUSG00000028776</t>
  </si>
  <si>
    <t>Tinagl1</t>
  </si>
  <si>
    <t>4.85409551456144e-07</t>
  </si>
  <si>
    <t>Tubulointerstitial nephritis antigen-like 1</t>
  </si>
  <si>
    <t>ENSMUSG00000018899</t>
  </si>
  <si>
    <t>Irf1</t>
  </si>
  <si>
    <t>Interferon regulatory factor 1</t>
  </si>
  <si>
    <t>ENSMUSG00000030219</t>
  </si>
  <si>
    <t>Erp27</t>
  </si>
  <si>
    <t>Endoplasmic reticulum protein 27</t>
  </si>
  <si>
    <t>ENSMUSG00000037112</t>
  </si>
  <si>
    <t>Sik2</t>
  </si>
  <si>
    <t>Salt inducible kinase 2</t>
  </si>
  <si>
    <t>ENSMUSG00000031490</t>
  </si>
  <si>
    <t>Eif4ebp1</t>
  </si>
  <si>
    <t>Eukaryotic translation initiation factor 4E binding protein 1</t>
  </si>
  <si>
    <t>ENSMUSG00000026020</t>
  </si>
  <si>
    <t>Nop58</t>
  </si>
  <si>
    <t>NOP58 ribonucleoprotein</t>
  </si>
  <si>
    <t>ENSMUSG00000030213</t>
  </si>
  <si>
    <t>Atf7ip</t>
  </si>
  <si>
    <t>Activating transcription factor 7 interacting protein</t>
  </si>
  <si>
    <t>ENSMUSG00000020427</t>
  </si>
  <si>
    <t>Igfbp3</t>
  </si>
  <si>
    <t>Insulin-like growth factor binding protein 3</t>
  </si>
  <si>
    <t>ENSMUSG00000030268</t>
  </si>
  <si>
    <t>Bcat1</t>
  </si>
  <si>
    <t>Branched chain aminotransferase 1, cytosolic</t>
  </si>
  <si>
    <t>ENSMUSG00000034675</t>
  </si>
  <si>
    <t>Dbn1</t>
  </si>
  <si>
    <t>Drebrin 1</t>
  </si>
  <si>
    <t>ENSMUSG00000023019</t>
  </si>
  <si>
    <t>Gpd1</t>
  </si>
  <si>
    <t>Glycerol-3-phosphate dehydrogenase 1 (soluble)</t>
  </si>
  <si>
    <t>ENSMUSG00000025162</t>
  </si>
  <si>
    <t>Csnk1d</t>
  </si>
  <si>
    <t>Casein kinase 1, delta</t>
  </si>
  <si>
    <t>ENSMUSG00000038305</t>
  </si>
  <si>
    <t>Spats2l</t>
  </si>
  <si>
    <t>Spermatogenesis associated, serine-rich 2-like</t>
  </si>
  <si>
    <t>ENSMUSG00000044674</t>
  </si>
  <si>
    <t>Fzd1</t>
  </si>
  <si>
    <t>Frizzled class receptor 1</t>
  </si>
  <si>
    <t>ENSMUSG00000044813</t>
  </si>
  <si>
    <t>Shb</t>
  </si>
  <si>
    <t>Src homology 2 domain-containing transforming protein B</t>
  </si>
  <si>
    <t>ENSMUSG00000031497</t>
  </si>
  <si>
    <t>Tnfsf13b</t>
  </si>
  <si>
    <t>Tumor necrosis factor (ligand) superfamily, member 13b</t>
  </si>
  <si>
    <t>ENSMUSG00000028106</t>
  </si>
  <si>
    <t>Rprd2</t>
  </si>
  <si>
    <t>Regulation of nuclear pre-mRNA domain containing 2</t>
  </si>
  <si>
    <t>ENSMUSG00000032548</t>
  </si>
  <si>
    <t>Slco2a1</t>
  </si>
  <si>
    <t>Solute carrier organic anion transporter family, member 2a1</t>
  </si>
  <si>
    <t>ENSMUSG00000030157</t>
  </si>
  <si>
    <t>Clec2d</t>
  </si>
  <si>
    <t>C-type lectin domain family 2, member d</t>
  </si>
  <si>
    <t>ENSMUSG00000036249</t>
  </si>
  <si>
    <t>Rbm43</t>
  </si>
  <si>
    <t>1.8829664156146e-05</t>
  </si>
  <si>
    <t>RNA binding motif protein 43</t>
  </si>
  <si>
    <t>ENSMUSG00000047798</t>
  </si>
  <si>
    <t>Cd300lf</t>
  </si>
  <si>
    <t>CD300 molecule like family member F</t>
  </si>
  <si>
    <t>ENSMUSG00000022094</t>
  </si>
  <si>
    <t>Slc39a14</t>
  </si>
  <si>
    <t>Solute carrier family 39 (zinc transporter), member 14</t>
  </si>
  <si>
    <t>ENSMUSG00000029135</t>
  </si>
  <si>
    <t>Fosl2</t>
  </si>
  <si>
    <t>Fos-like antigen 2</t>
  </si>
  <si>
    <t>ENSMUSG00000036208</t>
  </si>
  <si>
    <t>Nepro</t>
  </si>
  <si>
    <t>Nucleolus and neural progenitor protein</t>
  </si>
  <si>
    <t>ENSMUSG00000051278</t>
  </si>
  <si>
    <t>Zgrf1</t>
  </si>
  <si>
    <t>Zinc finger, GRF-type containing 1</t>
  </si>
  <si>
    <t>ENSMUSG00000041598</t>
  </si>
  <si>
    <t>Cdc42ep4</t>
  </si>
  <si>
    <t>CDC42 effector protein 4</t>
  </si>
  <si>
    <t>ENSMUSG00000042726</t>
  </si>
  <si>
    <t>Trafd1</t>
  </si>
  <si>
    <t>TRAF type zinc finger domain containing 1</t>
  </si>
  <si>
    <t>ENSMUSG00000059498</t>
  </si>
  <si>
    <t>Fcgr3</t>
  </si>
  <si>
    <t>Fc receptor, IgG, low affinity III</t>
  </si>
  <si>
    <t>ENSMUSG00000037855</t>
  </si>
  <si>
    <t>Zfp365</t>
  </si>
  <si>
    <t>Zinc finger protein 365</t>
  </si>
  <si>
    <t>ENSMUSG00000003752</t>
  </si>
  <si>
    <t>Itpkc</t>
  </si>
  <si>
    <t>Inositol 1,4,5-trisphosphate 3-kinase C</t>
  </si>
  <si>
    <t>ENSMUSG00000002847</t>
  </si>
  <si>
    <t>Pla1a</t>
  </si>
  <si>
    <t>Phospholipase A1 member A</t>
  </si>
  <si>
    <t>ENSMUSG00000022637</t>
  </si>
  <si>
    <t>Cblb</t>
  </si>
  <si>
    <t>Casitas B-lineage lymphoma b</t>
  </si>
  <si>
    <t>ENSMUSG00000002111</t>
  </si>
  <si>
    <t>Spi1</t>
  </si>
  <si>
    <t>2.6616074850873e-06</t>
  </si>
  <si>
    <t>Spi-1 proto-oncogene</t>
  </si>
  <si>
    <t>ENSMUSG00000036693</t>
  </si>
  <si>
    <t>Nop14</t>
  </si>
  <si>
    <t>NOP14 nucleolar protein</t>
  </si>
  <si>
    <t>ENSMUSG00000008730</t>
  </si>
  <si>
    <t>Hipk1</t>
  </si>
  <si>
    <t>Homeodomain interacting protein kinase 1</t>
  </si>
  <si>
    <t>ENSMUSG00000057948</t>
  </si>
  <si>
    <t>Unc13d</t>
  </si>
  <si>
    <t>Unc-13 homolog D</t>
  </si>
  <si>
    <t>ENSMUSG00000102418</t>
  </si>
  <si>
    <t>Sh2d1b1</t>
  </si>
  <si>
    <t>SH2 domain containing 1B1</t>
  </si>
  <si>
    <t>ENSMUSG00000054871</t>
  </si>
  <si>
    <t>Tmem158</t>
  </si>
  <si>
    <t>Transmembrane protein 158</t>
  </si>
  <si>
    <t>ENSMUSG00000028018</t>
  </si>
  <si>
    <t>Gstcd</t>
  </si>
  <si>
    <t>Glutathione S-transferase, C-terminal domain containing</t>
  </si>
  <si>
    <t>ENSMUSG00000036887</t>
  </si>
  <si>
    <t>C1qa</t>
  </si>
  <si>
    <t>Complement component 1, q subcomponent, alpha polypeptide</t>
  </si>
  <si>
    <t>ENSMUSG00000033730</t>
  </si>
  <si>
    <t>Egr3</t>
  </si>
  <si>
    <t>Early growth response 3</t>
  </si>
  <si>
    <t>ENSMUSG00000047330</t>
  </si>
  <si>
    <t>Kcne4</t>
  </si>
  <si>
    <t>Potassium voltage-gated channel, Isk-related subfamily, gene 4</t>
  </si>
  <si>
    <t>ENSMUSG00000036281</t>
  </si>
  <si>
    <t>Snapc4</t>
  </si>
  <si>
    <t>6.36497642238111e-05</t>
  </si>
  <si>
    <t>Small nuclear RNA activating complex, polypeptide 4</t>
  </si>
  <si>
    <t>ENSMUSG00000026395</t>
  </si>
  <si>
    <t>Ptprc</t>
  </si>
  <si>
    <t>Protein tyrosine phosphatase receptor type C</t>
  </si>
  <si>
    <t>ENSMUSG00000026466</t>
  </si>
  <si>
    <t>Tor1aip1</t>
  </si>
  <si>
    <t>Torsin A interacting protein 1</t>
  </si>
  <si>
    <t>ENSMUSG00000017724</t>
  </si>
  <si>
    <t>Etv4</t>
  </si>
  <si>
    <t>Ets variant 4</t>
  </si>
  <si>
    <t>ENSMUSG00000050721</t>
  </si>
  <si>
    <t>Plekho2</t>
  </si>
  <si>
    <t>4.82951157350468e-06</t>
  </si>
  <si>
    <t>Pleckstrin homology domain containing, family O member 2</t>
  </si>
  <si>
    <t>ENSMUSG00000038007</t>
  </si>
  <si>
    <t>Acer2</t>
  </si>
  <si>
    <t>Alkaline ceramidase 2</t>
  </si>
  <si>
    <t>ENSMUSG00000053175</t>
  </si>
  <si>
    <t>Bcl3</t>
  </si>
  <si>
    <t>1.37155839982058e-05</t>
  </si>
  <si>
    <t>B cell leukemia/lymphoma 3</t>
  </si>
  <si>
    <t>ENSMUSG00000020227</t>
  </si>
  <si>
    <t>Irak3</t>
  </si>
  <si>
    <t>Interleukin-1 receptor-associated kinase 3</t>
  </si>
  <si>
    <t>ENSMUSG00000045193</t>
  </si>
  <si>
    <t>Cirbp</t>
  </si>
  <si>
    <t>Cold inducible RNA binding protein</t>
  </si>
  <si>
    <t>ENSMUSG00000016256</t>
  </si>
  <si>
    <t>Ctsz</t>
  </si>
  <si>
    <t>Cathepsin Z</t>
  </si>
  <si>
    <t>ENSMUSG00000039252</t>
  </si>
  <si>
    <t>Lgi2</t>
  </si>
  <si>
    <t>Leucine-rich repeat LGI family, member 2</t>
  </si>
  <si>
    <t>ENSMUSG00000026475</t>
  </si>
  <si>
    <t>Rgs16</t>
  </si>
  <si>
    <t>Regulator of G-protein signaling 16</t>
  </si>
  <si>
    <t>ENSMUSG00000028713</t>
  </si>
  <si>
    <t>Cyp4b1</t>
  </si>
  <si>
    <t>Cytochrome P450, family 4, subfamily b, polypeptide 1</t>
  </si>
  <si>
    <t>ENSMUSG00000055491</t>
  </si>
  <si>
    <t>Pprc1</t>
  </si>
  <si>
    <t>Peroxisome proliferative activated receptor, gamma, coactivator-related 1</t>
  </si>
  <si>
    <t>ENSMUSG00000040312</t>
  </si>
  <si>
    <t>Cchcr1</t>
  </si>
  <si>
    <t>Coiled-coil alpha-helical rod protein 1</t>
  </si>
  <si>
    <t>ENSMUSG00000023026</t>
  </si>
  <si>
    <t>Dip2b</t>
  </si>
  <si>
    <t>Disco interacting protein 2 homolog B</t>
  </si>
  <si>
    <t>ENSMUSG00000009687</t>
  </si>
  <si>
    <t>Fxyd5</t>
  </si>
  <si>
    <t>FXYD domain-containing ion transport regulator 5</t>
  </si>
  <si>
    <t>ENSMUSG00000029468</t>
  </si>
  <si>
    <t>P2rx7</t>
  </si>
  <si>
    <t>Purinergic receptor P2X, ligand-gated ion channel, 7</t>
  </si>
  <si>
    <t>ENSMUSG00000070000</t>
  </si>
  <si>
    <t>Fcho1</t>
  </si>
  <si>
    <t>FCH domain only 1</t>
  </si>
  <si>
    <t>ENSMUSG00000033684</t>
  </si>
  <si>
    <t>Qsox1</t>
  </si>
  <si>
    <t>Quiescin Q6 sulfhydryl oxidase 1</t>
  </si>
  <si>
    <t>ENSMUSG00000031309</t>
  </si>
  <si>
    <t>Rps6ka3</t>
  </si>
  <si>
    <t>Ribosomal protein S6 kinase polypeptide 3</t>
  </si>
  <si>
    <t>ENSMUSG00000056216</t>
  </si>
  <si>
    <t>Cebpg</t>
  </si>
  <si>
    <t>3.56136401374331e-05</t>
  </si>
  <si>
    <t>CCAAT/enhancer binding protein gamma</t>
  </si>
  <si>
    <t>ENSMUSG00000043079</t>
  </si>
  <si>
    <t>Synpo</t>
  </si>
  <si>
    <t>Synaptopodin</t>
  </si>
  <si>
    <t>ENSMUSG00000024841</t>
  </si>
  <si>
    <t>Eif1ad</t>
  </si>
  <si>
    <t>Eukaryotic translation initiation factor 1A domain containing</t>
  </si>
  <si>
    <t>ENSMUSG00000024294</t>
  </si>
  <si>
    <t>Mib1</t>
  </si>
  <si>
    <t>MIB E3 ubiquitin protein ligase 1</t>
  </si>
  <si>
    <t>ENSMUSG00000115843</t>
  </si>
  <si>
    <t>Gm17873</t>
  </si>
  <si>
    <t>Predicted gene, 17873</t>
  </si>
  <si>
    <t>ENSMUSG00000005054</t>
  </si>
  <si>
    <t>Cstb</t>
  </si>
  <si>
    <t>6.75439518927036e-05</t>
  </si>
  <si>
    <t>Cystatin B</t>
  </si>
  <si>
    <t>ENSMUSG00000003123</t>
  </si>
  <si>
    <t>Lipe</t>
  </si>
  <si>
    <t>3.53531872770523e-05</t>
  </si>
  <si>
    <t>Lipase, hormone sensitive</t>
  </si>
  <si>
    <t>ENSMUSG00000038181</t>
  </si>
  <si>
    <t>Chpf2</t>
  </si>
  <si>
    <t>Chondroitin polymerizing factor 2</t>
  </si>
  <si>
    <t>ENSMUSG00000074342</t>
  </si>
  <si>
    <t>I830077J02Rik</t>
  </si>
  <si>
    <t>RIKEN cDNA I830077J02 gene</t>
  </si>
  <si>
    <t>ENSMUSG00000058396</t>
  </si>
  <si>
    <t>Gpr182</t>
  </si>
  <si>
    <t>G protein-coupled receptor 182</t>
  </si>
  <si>
    <t>ENSMUSG00000034271</t>
  </si>
  <si>
    <t>Jdp2</t>
  </si>
  <si>
    <t>6.28654556480353e-05</t>
  </si>
  <si>
    <t>Jun dimerization protein 2</t>
  </si>
  <si>
    <t>ENSMUSG00000073802</t>
  </si>
  <si>
    <t>Cdkn2b</t>
  </si>
  <si>
    <t>Cyclin dependent kinase inhibitor 2B</t>
  </si>
  <si>
    <t>ENSMUSG00000054072</t>
  </si>
  <si>
    <t>Iigp1</t>
  </si>
  <si>
    <t>Interferon inducible GTPase 1</t>
  </si>
  <si>
    <t>ENSMUSG00000062127</t>
  </si>
  <si>
    <t>Cttnbp2nl</t>
  </si>
  <si>
    <t>CTTNBP2 N-terminal like</t>
  </si>
  <si>
    <t>ENSMUSG00000010067</t>
  </si>
  <si>
    <t>Rassf1</t>
  </si>
  <si>
    <t>Ras association (RalGDS/AF-6) domain family member 1</t>
  </si>
  <si>
    <t>ENSMUSG00000051439</t>
  </si>
  <si>
    <t>Cd14</t>
  </si>
  <si>
    <t>CD14 antigen</t>
  </si>
  <si>
    <t>ENSMUSG00000024379</t>
  </si>
  <si>
    <t>Tslp</t>
  </si>
  <si>
    <t>Thymic stromal lymphopoietin</t>
  </si>
  <si>
    <t>ENSMUSG00000030114</t>
  </si>
  <si>
    <t>Klrg1</t>
  </si>
  <si>
    <t>Killer cell lectin-like receptor subfamily G, member 1</t>
  </si>
  <si>
    <t>ENSMUSG00000071203</t>
  </si>
  <si>
    <t>Naip5</t>
  </si>
  <si>
    <t>NLR family, apoptosis inhibitory protein 5</t>
  </si>
  <si>
    <t>ENSMUSG00000029810</t>
  </si>
  <si>
    <t>Tmem176b</t>
  </si>
  <si>
    <t>Transmembrane protein 176B</t>
  </si>
  <si>
    <t>ENSMUSG00000056501</t>
  </si>
  <si>
    <t>Cebpb</t>
  </si>
  <si>
    <t>5.42765515537416e-06</t>
  </si>
  <si>
    <t>CCAAT/enhancer binding protein beta</t>
  </si>
  <si>
    <t>ENSMUSG00000025351</t>
  </si>
  <si>
    <t>Cd63</t>
  </si>
  <si>
    <t>CD63 antigen</t>
  </si>
  <si>
    <t>ENSMUSG00000017679</t>
  </si>
  <si>
    <t>Ttpal</t>
  </si>
  <si>
    <t>Tocopherol (alpha) transfer protein-like</t>
  </si>
  <si>
    <t>ENSMUSG00000024037</t>
  </si>
  <si>
    <t>Wdr4</t>
  </si>
  <si>
    <t>WD repeat domain 4</t>
  </si>
  <si>
    <t>ENSMUSG00000041782</t>
  </si>
  <si>
    <t>Lad1</t>
  </si>
  <si>
    <t>Ladinin</t>
  </si>
  <si>
    <t>ENSMUSG00000002319</t>
  </si>
  <si>
    <t>Ipo4</t>
  </si>
  <si>
    <t>Importin 4</t>
  </si>
  <si>
    <t>ENSMUSG00000042354</t>
  </si>
  <si>
    <t>Gnl3</t>
  </si>
  <si>
    <t>Guanine nucleotide binding protein nucleolar 3</t>
  </si>
  <si>
    <t>ENSMUSG00000030748</t>
  </si>
  <si>
    <t>Il4ra</t>
  </si>
  <si>
    <t>Interleukin 4 receptor, alpha</t>
  </si>
  <si>
    <t>ENSMUSG00000020412</t>
  </si>
  <si>
    <t>Ascc2</t>
  </si>
  <si>
    <t>Activating signal cointegrator 1 complex subunit 2</t>
  </si>
  <si>
    <t>ENSMUSG00000079343</t>
  </si>
  <si>
    <t>C1s2</t>
  </si>
  <si>
    <t>Complement component 1, s subcomponent 2</t>
  </si>
  <si>
    <t>ENSMUSG00000031207</t>
  </si>
  <si>
    <t>Msn</t>
  </si>
  <si>
    <t>5.23488278294212e-05</t>
  </si>
  <si>
    <t>Moesin</t>
  </si>
  <si>
    <t>ENSMUSG00000008734</t>
  </si>
  <si>
    <t>Gprc5b</t>
  </si>
  <si>
    <t>G protein-coupled receptor, family C, group 5, member B</t>
  </si>
  <si>
    <t>ENSMUSG00000020122</t>
  </si>
  <si>
    <t>Egfr</t>
  </si>
  <si>
    <t>Epidermal growth factor receptor</t>
  </si>
  <si>
    <t>ENSMUSG00000022887</t>
  </si>
  <si>
    <t>Masp1</t>
  </si>
  <si>
    <t>5.64627616524685e-05</t>
  </si>
  <si>
    <t>MBL associated serine protease 1</t>
  </si>
  <si>
    <t>ENSMUSG00000090698</t>
  </si>
  <si>
    <t>Apold1</t>
  </si>
  <si>
    <t>Apolipoprotein L domain containing 1</t>
  </si>
  <si>
    <t>ENSMUSG00000031284</t>
  </si>
  <si>
    <t>Pak3</t>
  </si>
  <si>
    <t>P21 (RAC1) activated kinase 3</t>
  </si>
  <si>
    <t>ENSMUSG00000030786</t>
  </si>
  <si>
    <t>Itgam</t>
  </si>
  <si>
    <t>Integrin alpha M</t>
  </si>
  <si>
    <t>ENSMUSG00000016477</t>
  </si>
  <si>
    <t>E2f3</t>
  </si>
  <si>
    <t>E2F transcription factor 3</t>
  </si>
  <si>
    <t>ENSMUSG00000020790</t>
  </si>
  <si>
    <t>Ankfy1</t>
  </si>
  <si>
    <t>Ankyrin repeat and FYVE domain containing 1</t>
  </si>
  <si>
    <t>ILMN_1220680</t>
  </si>
  <si>
    <t>ENSMUSG00000003762</t>
  </si>
  <si>
    <t>Coq8b</t>
  </si>
  <si>
    <t>Coenzyme Q8B</t>
  </si>
  <si>
    <t>Chemokine (C motif) ligand 1</t>
  </si>
  <si>
    <t>ENSMUSG00000032261</t>
  </si>
  <si>
    <t>Sh3bgrl2</t>
  </si>
  <si>
    <t>SH3 domain binding glutamic acid-rich protein like 2</t>
  </si>
  <si>
    <t>ENSMUSG00000009281</t>
  </si>
  <si>
    <t>Rarres2</t>
  </si>
  <si>
    <t>Retinoic acid receptor responder (tazarotene induced) 2</t>
  </si>
  <si>
    <t>ENSMUSG00000022439</t>
  </si>
  <si>
    <t>Parvg</t>
  </si>
  <si>
    <t>Parvin, gamma</t>
  </si>
  <si>
    <t>ENSMUSG00000026979</t>
  </si>
  <si>
    <t>Psd4</t>
  </si>
  <si>
    <t>Pleckstrin and Sec7 domain containing 4</t>
  </si>
  <si>
    <t>ENSMUSG00000024983</t>
  </si>
  <si>
    <t>Vti1a</t>
  </si>
  <si>
    <t>Vesicle transport through interaction with t-SNAREs 1A</t>
  </si>
  <si>
    <t>ENSMUSG00000053279</t>
  </si>
  <si>
    <t>Aldh1a1</t>
  </si>
  <si>
    <t>Aldehyde dehydrogenase family 1, subfamily A1</t>
  </si>
  <si>
    <t>ENSMUSG00000031508</t>
  </si>
  <si>
    <t>Ankrd10</t>
  </si>
  <si>
    <t>Ankyrin repeat domain 10</t>
  </si>
  <si>
    <t>ENSMUSG00000015312</t>
  </si>
  <si>
    <t>Gadd45b</t>
  </si>
  <si>
    <t>Growth arrest and DNA-damage-inducible 45 beta</t>
  </si>
  <si>
    <t>ENSMUSG00000033099</t>
  </si>
  <si>
    <t>Nol12</t>
  </si>
  <si>
    <t>Nucleolar protein 12</t>
  </si>
  <si>
    <t>ENSMUSG00000078945</t>
  </si>
  <si>
    <t>Naip2</t>
  </si>
  <si>
    <t>NLR family, apoptosis inhibitory protein 2</t>
  </si>
  <si>
    <t>ENSMUSG00000082361</t>
  </si>
  <si>
    <t>Btc</t>
  </si>
  <si>
    <t>Betacellulin, epidermal growth factor family member</t>
  </si>
  <si>
    <t>ENSMUSG00000020275</t>
  </si>
  <si>
    <t>Rel</t>
  </si>
  <si>
    <t>Reticuloendotheliosis oncogene</t>
  </si>
  <si>
    <t>ENSMUSG00000024561</t>
  </si>
  <si>
    <t>Mbd1</t>
  </si>
  <si>
    <t>Methyl-CpG binding domain protein 1</t>
  </si>
  <si>
    <t>ILMN_1258904</t>
  </si>
  <si>
    <t>ENSMUSG00000066687</t>
  </si>
  <si>
    <t>Zbtb16</t>
  </si>
  <si>
    <t>Zinc finger and BTB domain containing 16</t>
  </si>
  <si>
    <t>ENSMUSG00000047098</t>
  </si>
  <si>
    <t>Rnf31</t>
  </si>
  <si>
    <t>Ring finger protein 31</t>
  </si>
  <si>
    <t>ENSMUSG00000036169</t>
  </si>
  <si>
    <t>Sostdc1</t>
  </si>
  <si>
    <t>Sclerostin domain containing 1</t>
  </si>
  <si>
    <t>ENSMUSG00000020142</t>
  </si>
  <si>
    <t>Slc1a4</t>
  </si>
  <si>
    <t>Solute carrier family 1 (glutamate/neutral amino acid transporter), member 4</t>
  </si>
  <si>
    <t>ENSMUSG00000097425</t>
  </si>
  <si>
    <t>Vmn1r181</t>
  </si>
  <si>
    <t>Vomeronasal 1 receptor 181</t>
  </si>
  <si>
    <t>ENSMUSG00000022686</t>
  </si>
  <si>
    <t>B3gnt5</t>
  </si>
  <si>
    <t>UDP-GlcNAc:betaGal beta-1,3-N-acetylglucosaminyltransferase 5</t>
  </si>
  <si>
    <t>ENSMUSG00000043008</t>
  </si>
  <si>
    <t>Klhl6</t>
  </si>
  <si>
    <t>Kelch-like 6</t>
  </si>
  <si>
    <t>ENSMUSG00000037434</t>
  </si>
  <si>
    <t>Slc30a1</t>
  </si>
  <si>
    <t>4.98282786878072e-05</t>
  </si>
  <si>
    <t>Solute carrier family 30 (zinc transporter), member 1</t>
  </si>
  <si>
    <t>ENSMUSG00000056536</t>
  </si>
  <si>
    <t>Pign</t>
  </si>
  <si>
    <t>Phosphatidylinositol glycan anchor biosynthesis, class N</t>
  </si>
  <si>
    <t>ENSMUSG00000002297</t>
  </si>
  <si>
    <t>Dbf4</t>
  </si>
  <si>
    <t>DBF4 zinc finger</t>
  </si>
  <si>
    <t>ENSMUSG00000043004</t>
  </si>
  <si>
    <t>Gng2</t>
  </si>
  <si>
    <t>Guanine nucleotide binding protein (G protein), gamma 2</t>
  </si>
  <si>
    <t>ENSMUSG00000031370</t>
  </si>
  <si>
    <t>Zrsr2</t>
  </si>
  <si>
    <t>Zinc finger (CCCH type), RNA binding motif and serine/arginine rich 2</t>
  </si>
  <si>
    <t>ENSMUSG00000004100</t>
  </si>
  <si>
    <t>Ppan</t>
  </si>
  <si>
    <t>Peter pan homolog</t>
  </si>
  <si>
    <t>ENSMUSG00000046062</t>
  </si>
  <si>
    <t>Ppp1r15b</t>
  </si>
  <si>
    <t>Protein phosphatase 1, regulatory subunit 15B</t>
  </si>
  <si>
    <t>ENSMUSG00000020149</t>
  </si>
  <si>
    <t>Rab1a</t>
  </si>
  <si>
    <t>RAB1A, member RAS oncogene family</t>
  </si>
  <si>
    <t>ENSMUSG00000023186</t>
  </si>
  <si>
    <t>Vwa5a</t>
  </si>
  <si>
    <t>Von Willebrand factor A domain containing 5A</t>
  </si>
  <si>
    <t>ENSMUSG00000054252</t>
  </si>
  <si>
    <t>Fgfr3</t>
  </si>
  <si>
    <t>Fibroblast growth factor receptor 3</t>
  </si>
  <si>
    <t>ENSMUSG00000053801</t>
  </si>
  <si>
    <t>Grwd1</t>
  </si>
  <si>
    <t>1.46800690347619e-05</t>
  </si>
  <si>
    <t>Glutamate-rich WD repeat containing 1</t>
  </si>
  <si>
    <t>ENSMUSG00000031803</t>
  </si>
  <si>
    <t>B3gnt3</t>
  </si>
  <si>
    <t>UDP-GlcNAc:betaGal beta-1,3-N-acetylglucosaminyltransferase 3</t>
  </si>
  <si>
    <t>ENSMUSG00000056458</t>
  </si>
  <si>
    <t>Mok</t>
  </si>
  <si>
    <t>MOK protein kinase</t>
  </si>
  <si>
    <t>ENSMUSG00000030199</t>
  </si>
  <si>
    <t>Etv6</t>
  </si>
  <si>
    <t>Ets variant 6</t>
  </si>
  <si>
    <t>ENSMUSG00000026029</t>
  </si>
  <si>
    <t>Casp8</t>
  </si>
  <si>
    <t>Caspase 8</t>
  </si>
  <si>
    <t>ENSMUSG00000039477</t>
  </si>
  <si>
    <t>Tnrc18</t>
  </si>
  <si>
    <t>Trinucleotide repeat containing 18</t>
  </si>
  <si>
    <t>Tumor necrosis factor (ligand) superfamily, member 10</t>
  </si>
  <si>
    <t>ENSMUSG00000039239</t>
  </si>
  <si>
    <t>Tgfb2</t>
  </si>
  <si>
    <t>Transforming growth factor, beta 2</t>
  </si>
  <si>
    <t>ENSMUSG00000034157</t>
  </si>
  <si>
    <t>Cipc</t>
  </si>
  <si>
    <t>CLOCK interacting protein, circadian</t>
  </si>
  <si>
    <t>ENSMUSG00000040522</t>
  </si>
  <si>
    <t>Tlr8</t>
  </si>
  <si>
    <t>Toll-like receptor 8</t>
  </si>
  <si>
    <t>ENSMUSG00000040511</t>
  </si>
  <si>
    <t>Pvr</t>
  </si>
  <si>
    <t>1.91563641950305e-05</t>
  </si>
  <si>
    <t>Poliovirus receptor</t>
  </si>
  <si>
    <t>ENSMUSG00000028655</t>
  </si>
  <si>
    <t>Mfsd2a</t>
  </si>
  <si>
    <t>MFSD2 lysolipid transporter A, lysophospholipid</t>
  </si>
  <si>
    <t>ENSMUSG00000031400</t>
  </si>
  <si>
    <t>G6pdx</t>
  </si>
  <si>
    <t>Glucose-6-phosphate dehydrogenase X-linked</t>
  </si>
  <si>
    <t>ENSMUSG00000022180</t>
  </si>
  <si>
    <t>Slc7a8</t>
  </si>
  <si>
    <t>Solute carrier family 7 (cationic amino acid transporter, y+ system), member 8</t>
  </si>
  <si>
    <t>ENSMUSG00000047565</t>
  </si>
  <si>
    <t>Acot10</t>
  </si>
  <si>
    <t>Acyl-CoA thioesterase 10</t>
  </si>
  <si>
    <t>ENSMUSG00000022218</t>
  </si>
  <si>
    <t>Tgm1</t>
  </si>
  <si>
    <t>Transglutaminase 1, K polypeptide</t>
  </si>
  <si>
    <t>ENSMUSG00000026819</t>
  </si>
  <si>
    <t>Slc25a25</t>
  </si>
  <si>
    <t>Solute carrier family 25 (mitochondrial carrier, phosphate carrier), member 25</t>
  </si>
  <si>
    <t>ENSMUSG00000034595</t>
  </si>
  <si>
    <t>Ppp1r18</t>
  </si>
  <si>
    <t>Protein phosphatase 1, regulatory subunit 18</t>
  </si>
  <si>
    <t>ENSMUSG00000000693</t>
  </si>
  <si>
    <t>Loxl3</t>
  </si>
  <si>
    <t>Lysyl oxidase-like 3</t>
  </si>
  <si>
    <t>ENSMUSG00000022863</t>
  </si>
  <si>
    <t>Btg3</t>
  </si>
  <si>
    <t>BTG anti-proliferation factor 3</t>
  </si>
  <si>
    <t>ENSMUSG00000063800</t>
  </si>
  <si>
    <t>Prpf38a</t>
  </si>
  <si>
    <t>PRP38 pre-mRNA processing factor 38 (yeast) domain containing A</t>
  </si>
  <si>
    <t>ENSMUSG00000032064</t>
  </si>
  <si>
    <t>Dixdc1</t>
  </si>
  <si>
    <t>DIX domain containing 1</t>
  </si>
  <si>
    <t>ENSMUSG00000041702</t>
  </si>
  <si>
    <t>Btbd7</t>
  </si>
  <si>
    <t>BTB domain containing 7</t>
  </si>
  <si>
    <t>ENSMUSG00000021948</t>
  </si>
  <si>
    <t>Prkcd</t>
  </si>
  <si>
    <t>Protein kinase C, delta</t>
  </si>
  <si>
    <t>ENSMUSG00000033319</t>
  </si>
  <si>
    <t>Fem1c</t>
  </si>
  <si>
    <t>Fem 1 homolog c</t>
  </si>
  <si>
    <t>ENSMUSG00000038264</t>
  </si>
  <si>
    <t>Sema7a</t>
  </si>
  <si>
    <t>Sema domain, immunoglobulin domain (Ig), and GPI membrane anchor, (semaphorin) 7A</t>
  </si>
  <si>
    <t>ENSMUSG00000059456</t>
  </si>
  <si>
    <t>Ptk2b</t>
  </si>
  <si>
    <t>PTK2 protein tyrosine kinase 2 beta</t>
  </si>
  <si>
    <t>ENSMUSG00000020706</t>
  </si>
  <si>
    <t>Ftsj3</t>
  </si>
  <si>
    <t>3.66399250157446e-05</t>
  </si>
  <si>
    <t>FtsJ RNA 2'-O-methyltransferase 3</t>
  </si>
  <si>
    <t>ENSMUSG00000047193</t>
  </si>
  <si>
    <t>Dync2h1</t>
  </si>
  <si>
    <t>Dynein cytoplasmic 2 heavy chain 1</t>
  </si>
  <si>
    <t>ENSMUSG00000032671</t>
  </si>
  <si>
    <t>A930018P22Rik</t>
  </si>
  <si>
    <t>RIKEN cDNA A930018P22 gene</t>
  </si>
  <si>
    <t>ENSMUSG00000027641</t>
  </si>
  <si>
    <t>Rbl1</t>
  </si>
  <si>
    <t>RB transcriptional corepressor like 1</t>
  </si>
  <si>
    <t>ENSMUSG00000027829</t>
  </si>
  <si>
    <t>Ccnl1</t>
  </si>
  <si>
    <t>Cyclin L1</t>
  </si>
  <si>
    <t>ENSMUSG00000022488</t>
  </si>
  <si>
    <t>Nckap1l</t>
  </si>
  <si>
    <t>NCK associated protein 1 like</t>
  </si>
  <si>
    <t>ENSMUSG00000041132</t>
  </si>
  <si>
    <t>N4bp2l1</t>
  </si>
  <si>
    <t>NEDD4 binding protein 2-like 1</t>
  </si>
  <si>
    <t>ENSMUSG00000004730</t>
  </si>
  <si>
    <t>Adgre1</t>
  </si>
  <si>
    <t>Adhesion G protein-coupled receptor E1</t>
  </si>
  <si>
    <t>ENSMUSG00000051586</t>
  </si>
  <si>
    <t>Mical3</t>
  </si>
  <si>
    <t>Microtubule associated monooxygenase, calponin and LIM domain containing 3</t>
  </si>
  <si>
    <t>ENSMUSG00000029923</t>
  </si>
  <si>
    <t>Rab19</t>
  </si>
  <si>
    <t>RAB19, member RAS oncogene family</t>
  </si>
  <si>
    <t>ENSMUSG00000034235</t>
  </si>
  <si>
    <t>Usp54</t>
  </si>
  <si>
    <t>Ubiquitin specific peptidase 54</t>
  </si>
  <si>
    <t>ENSMUSG00000017652</t>
  </si>
  <si>
    <t>Cd40</t>
  </si>
  <si>
    <t>CD40 antigen</t>
  </si>
  <si>
    <t>ENSMUSG00000009394</t>
  </si>
  <si>
    <t>Syn2</t>
  </si>
  <si>
    <t>Synapsin II</t>
  </si>
  <si>
    <t>ENSMUSG00000036053</t>
  </si>
  <si>
    <t>Fmnl2</t>
  </si>
  <si>
    <t>Formin-like 2</t>
  </si>
  <si>
    <t>ENSMUSG00000050244</t>
  </si>
  <si>
    <t>Heatr1</t>
  </si>
  <si>
    <t>HEAT repeat containing 1</t>
  </si>
  <si>
    <t>ENSMUSG00000025142</t>
  </si>
  <si>
    <t>Aspscr1</t>
  </si>
  <si>
    <t>ASPSCR1 tether for SLC2A4, UBX domain containing</t>
  </si>
  <si>
    <t>ENSMUSG00000033114</t>
  </si>
  <si>
    <t>Slc35d2</t>
  </si>
  <si>
    <t>Solute carrier family 35, member D2</t>
  </si>
  <si>
    <t>ENSMUSG00000022583</t>
  </si>
  <si>
    <t>Ly6f</t>
  </si>
  <si>
    <t>Lymphocyte antigen 6 family member F</t>
  </si>
  <si>
    <t>ENSMUSG00000020962</t>
  </si>
  <si>
    <t>Gtf2a1</t>
  </si>
  <si>
    <t>General transcription factor II A, 1</t>
  </si>
  <si>
    <t>ENSMUSG00000029186</t>
  </si>
  <si>
    <t>Pi4k2b</t>
  </si>
  <si>
    <t>Phosphatidylinositol 4-kinase type 2 beta</t>
  </si>
  <si>
    <t>ENSMUSG00000059866</t>
  </si>
  <si>
    <t>Tnip2</t>
  </si>
  <si>
    <t>TNFAIP3 interacting protein 2</t>
  </si>
  <si>
    <t>ENSMUSG00000039994</t>
  </si>
  <si>
    <t>Timeless</t>
  </si>
  <si>
    <t>Timeless circadian clock 1</t>
  </si>
  <si>
    <t>Log2FC</t>
  </si>
  <si>
    <t>ADJ P</t>
  </si>
  <si>
    <t>Adj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</si>
</sst>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F081-1A6B-4AE3-90AA-4F922E954353}">
  <dimension ref="A1:F827"/>
  <sheetViews>
    <sheetView workbookViewId="0"/>
  </sheetViews>
  <sheetFormatPr defaultRowHeight="14.4" x14ac:dyDescent="0.3"/>
  <sheetData>
    <row r="1" spans="1:6" x14ac:dyDescent="0.3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</row>
    <row r="2" spans="1:6" x14ac:dyDescent="0.3">
      <c r="A2" t="s">
        <v>193</v>
      </c>
      <c r="B2" t="s">
        <v>194</v>
      </c>
      <c r="C2">
        <v>14962</v>
      </c>
      <c r="D2">
        <v>9.7162445833333404</v>
      </c>
      <c r="E2" s="1" t="s">
        <v>195</v>
      </c>
      <c r="F2" t="s">
        <v>196</v>
      </c>
    </row>
    <row r="3" spans="1:6" x14ac:dyDescent="0.3">
      <c r="A3" t="s">
        <v>197</v>
      </c>
      <c r="B3" t="s">
        <v>198</v>
      </c>
      <c r="C3">
        <v>20210</v>
      </c>
      <c r="D3">
        <v>7.2370426666666701</v>
      </c>
      <c r="E3" s="1" t="s">
        <v>199</v>
      </c>
      <c r="F3" t="s">
        <v>200</v>
      </c>
    </row>
    <row r="4" spans="1:6" x14ac:dyDescent="0.3">
      <c r="A4" t="s">
        <v>201</v>
      </c>
      <c r="B4" t="s">
        <v>202</v>
      </c>
      <c r="C4">
        <v>54123</v>
      </c>
      <c r="D4">
        <v>7.076085</v>
      </c>
      <c r="E4" s="1" t="s">
        <v>203</v>
      </c>
      <c r="F4" t="s">
        <v>204</v>
      </c>
    </row>
    <row r="5" spans="1:6" x14ac:dyDescent="0.3">
      <c r="A5" t="s">
        <v>205</v>
      </c>
      <c r="B5" t="s">
        <v>206</v>
      </c>
      <c r="C5">
        <v>12047</v>
      </c>
      <c r="D5">
        <v>7.0067650833333301</v>
      </c>
      <c r="E5" s="1" t="s">
        <v>207</v>
      </c>
      <c r="F5" t="s">
        <v>208</v>
      </c>
    </row>
    <row r="6" spans="1:6" x14ac:dyDescent="0.3">
      <c r="A6" t="s">
        <v>122</v>
      </c>
      <c r="B6" t="s">
        <v>121</v>
      </c>
      <c r="C6">
        <v>15945</v>
      </c>
      <c r="D6">
        <v>6.8113739999999998</v>
      </c>
      <c r="E6" s="1" t="s">
        <v>209</v>
      </c>
      <c r="F6" t="s">
        <v>210</v>
      </c>
    </row>
    <row r="7" spans="1:6" x14ac:dyDescent="0.3">
      <c r="A7" t="s">
        <v>211</v>
      </c>
      <c r="B7" t="s">
        <v>212</v>
      </c>
      <c r="C7">
        <v>238393</v>
      </c>
      <c r="D7">
        <v>6.4466229999999998</v>
      </c>
      <c r="E7" s="1" t="s">
        <v>213</v>
      </c>
      <c r="F7" t="s">
        <v>214</v>
      </c>
    </row>
    <row r="8" spans="1:6" x14ac:dyDescent="0.3">
      <c r="A8" t="s">
        <v>215</v>
      </c>
      <c r="B8" t="s">
        <v>216</v>
      </c>
      <c r="C8">
        <v>21354</v>
      </c>
      <c r="D8">
        <v>6.3814615000000003</v>
      </c>
      <c r="E8" s="1" t="s">
        <v>217</v>
      </c>
      <c r="F8" t="s">
        <v>218</v>
      </c>
    </row>
    <row r="9" spans="1:6" x14ac:dyDescent="0.3">
      <c r="A9" t="s">
        <v>219</v>
      </c>
      <c r="B9" t="s">
        <v>220</v>
      </c>
      <c r="C9">
        <v>231507</v>
      </c>
      <c r="D9">
        <v>6.3566215833333404</v>
      </c>
      <c r="E9" s="1" t="s">
        <v>221</v>
      </c>
      <c r="F9" t="s">
        <v>222</v>
      </c>
    </row>
    <row r="10" spans="1:6" x14ac:dyDescent="0.3">
      <c r="A10" t="s">
        <v>130</v>
      </c>
      <c r="B10" t="s">
        <v>129</v>
      </c>
      <c r="C10">
        <v>20296</v>
      </c>
      <c r="D10">
        <v>6.2746062499999997</v>
      </c>
      <c r="E10" s="1" t="s">
        <v>223</v>
      </c>
      <c r="F10" t="s">
        <v>224</v>
      </c>
    </row>
    <row r="11" spans="1:6" x14ac:dyDescent="0.3">
      <c r="A11" t="s">
        <v>225</v>
      </c>
      <c r="B11" t="s">
        <v>226</v>
      </c>
      <c r="C11">
        <v>231655</v>
      </c>
      <c r="D11">
        <v>6.2535474999999998</v>
      </c>
      <c r="E11" s="1" t="s">
        <v>195</v>
      </c>
      <c r="F11" t="s">
        <v>227</v>
      </c>
    </row>
    <row r="12" spans="1:6" x14ac:dyDescent="0.3">
      <c r="A12" t="s">
        <v>228</v>
      </c>
      <c r="B12" t="s">
        <v>229</v>
      </c>
      <c r="C12">
        <v>12268</v>
      </c>
      <c r="D12">
        <v>6.2292244999999999</v>
      </c>
      <c r="E12" s="1" t="s">
        <v>230</v>
      </c>
      <c r="F12" t="s">
        <v>231</v>
      </c>
    </row>
    <row r="13" spans="1:6" x14ac:dyDescent="0.3">
      <c r="A13" t="s">
        <v>232</v>
      </c>
      <c r="B13" t="s">
        <v>233</v>
      </c>
      <c r="C13">
        <v>16819</v>
      </c>
      <c r="D13">
        <v>6.1086429999999998</v>
      </c>
      <c r="E13" s="1" t="s">
        <v>234</v>
      </c>
      <c r="F13" t="s">
        <v>235</v>
      </c>
    </row>
    <row r="14" spans="1:6" x14ac:dyDescent="0.3">
      <c r="A14" t="s">
        <v>124</v>
      </c>
      <c r="B14" t="s">
        <v>123</v>
      </c>
      <c r="C14">
        <v>20304</v>
      </c>
      <c r="D14">
        <v>5.99440975</v>
      </c>
      <c r="E14" s="1" t="s">
        <v>236</v>
      </c>
      <c r="F14" t="s">
        <v>237</v>
      </c>
    </row>
    <row r="15" spans="1:6" x14ac:dyDescent="0.3">
      <c r="A15" t="s">
        <v>238</v>
      </c>
      <c r="B15" t="s">
        <v>238</v>
      </c>
      <c r="C15" t="s">
        <v>239</v>
      </c>
      <c r="D15">
        <v>5.9265001666666697</v>
      </c>
      <c r="E15" s="1" t="s">
        <v>240</v>
      </c>
      <c r="F15" t="s">
        <v>239</v>
      </c>
    </row>
    <row r="16" spans="1:6" x14ac:dyDescent="0.3">
      <c r="A16" t="s">
        <v>241</v>
      </c>
      <c r="B16" t="s">
        <v>242</v>
      </c>
      <c r="C16">
        <v>223672</v>
      </c>
      <c r="D16">
        <v>5.8684855000000002</v>
      </c>
      <c r="E16" s="1" t="s">
        <v>195</v>
      </c>
      <c r="F16" t="s">
        <v>243</v>
      </c>
    </row>
    <row r="17" spans="1:6" x14ac:dyDescent="0.3">
      <c r="A17" t="s">
        <v>244</v>
      </c>
      <c r="B17" t="s">
        <v>245</v>
      </c>
      <c r="C17">
        <v>17858</v>
      </c>
      <c r="D17">
        <v>5.8275135000000002</v>
      </c>
      <c r="E17" s="1" t="s">
        <v>246</v>
      </c>
      <c r="F17" t="s">
        <v>247</v>
      </c>
    </row>
    <row r="18" spans="1:6" x14ac:dyDescent="0.3">
      <c r="A18" t="s">
        <v>248</v>
      </c>
      <c r="B18" t="s">
        <v>249</v>
      </c>
      <c r="C18">
        <v>15959</v>
      </c>
      <c r="D18">
        <v>5.6161720833333399</v>
      </c>
      <c r="E18" s="1" t="s">
        <v>195</v>
      </c>
      <c r="F18" t="s">
        <v>250</v>
      </c>
    </row>
    <row r="19" spans="1:6" x14ac:dyDescent="0.3">
      <c r="A19" t="s">
        <v>251</v>
      </c>
      <c r="B19" t="s">
        <v>252</v>
      </c>
      <c r="C19">
        <v>81013</v>
      </c>
      <c r="D19">
        <v>5.5708632500000004</v>
      </c>
      <c r="E19" s="1" t="s">
        <v>253</v>
      </c>
      <c r="F19" t="s">
        <v>254</v>
      </c>
    </row>
    <row r="20" spans="1:6" x14ac:dyDescent="0.3">
      <c r="A20" t="s">
        <v>255</v>
      </c>
      <c r="B20" t="s">
        <v>256</v>
      </c>
      <c r="C20">
        <v>14289</v>
      </c>
      <c r="D20">
        <v>5.4967662500000003</v>
      </c>
      <c r="E20" s="1" t="s">
        <v>257</v>
      </c>
      <c r="F20" t="s">
        <v>258</v>
      </c>
    </row>
    <row r="21" spans="1:6" x14ac:dyDescent="0.3">
      <c r="A21" t="s">
        <v>259</v>
      </c>
      <c r="B21" t="s">
        <v>260</v>
      </c>
      <c r="C21">
        <v>71898</v>
      </c>
      <c r="D21">
        <v>5.42131716666667</v>
      </c>
      <c r="E21" s="1" t="s">
        <v>261</v>
      </c>
      <c r="F21" t="s">
        <v>262</v>
      </c>
    </row>
    <row r="22" spans="1:6" x14ac:dyDescent="0.3">
      <c r="A22" t="s">
        <v>46</v>
      </c>
      <c r="B22" t="s">
        <v>45</v>
      </c>
      <c r="C22">
        <v>20303</v>
      </c>
      <c r="D22">
        <v>5.3961073333333403</v>
      </c>
      <c r="E22" s="1" t="s">
        <v>263</v>
      </c>
      <c r="F22" t="s">
        <v>264</v>
      </c>
    </row>
    <row r="23" spans="1:6" x14ac:dyDescent="0.3">
      <c r="A23" t="s">
        <v>265</v>
      </c>
      <c r="B23" t="s">
        <v>266</v>
      </c>
      <c r="C23">
        <v>15977</v>
      </c>
      <c r="D23">
        <v>5.3801432499999997</v>
      </c>
      <c r="E23" s="1" t="s">
        <v>267</v>
      </c>
      <c r="F23" t="s">
        <v>268</v>
      </c>
    </row>
    <row r="24" spans="1:6" x14ac:dyDescent="0.3">
      <c r="A24" t="s">
        <v>269</v>
      </c>
      <c r="B24" t="s">
        <v>270</v>
      </c>
      <c r="C24">
        <v>16365</v>
      </c>
      <c r="D24">
        <v>5.3570621666666698</v>
      </c>
      <c r="E24" s="1" t="s">
        <v>271</v>
      </c>
      <c r="F24" t="s">
        <v>272</v>
      </c>
    </row>
    <row r="25" spans="1:6" x14ac:dyDescent="0.3">
      <c r="A25" t="s">
        <v>128</v>
      </c>
      <c r="B25" t="s">
        <v>127</v>
      </c>
      <c r="C25">
        <v>20306</v>
      </c>
      <c r="D25">
        <v>5.34522558333334</v>
      </c>
      <c r="E25" s="1" t="s">
        <v>273</v>
      </c>
      <c r="F25" t="s">
        <v>274</v>
      </c>
    </row>
    <row r="26" spans="1:6" x14ac:dyDescent="0.3">
      <c r="A26" t="s">
        <v>275</v>
      </c>
      <c r="B26" t="s">
        <v>276</v>
      </c>
      <c r="C26">
        <v>19288</v>
      </c>
      <c r="D26">
        <v>5.3448172500000002</v>
      </c>
      <c r="E26" s="1" t="s">
        <v>277</v>
      </c>
      <c r="F26" t="s">
        <v>278</v>
      </c>
    </row>
    <row r="27" spans="1:6" x14ac:dyDescent="0.3">
      <c r="A27" t="s">
        <v>279</v>
      </c>
      <c r="B27" t="s">
        <v>280</v>
      </c>
      <c r="C27">
        <v>100038882</v>
      </c>
      <c r="D27">
        <v>5.3393022500000002</v>
      </c>
      <c r="E27" s="1" t="s">
        <v>281</v>
      </c>
      <c r="F27" t="s">
        <v>282</v>
      </c>
    </row>
    <row r="28" spans="1:6" x14ac:dyDescent="0.3">
      <c r="A28" t="s">
        <v>283</v>
      </c>
      <c r="B28" t="s">
        <v>284</v>
      </c>
      <c r="C28">
        <v>219131</v>
      </c>
      <c r="D28">
        <v>5.2914100833333304</v>
      </c>
      <c r="E28" s="1" t="s">
        <v>285</v>
      </c>
      <c r="F28" t="s">
        <v>286</v>
      </c>
    </row>
    <row r="29" spans="1:6" x14ac:dyDescent="0.3">
      <c r="A29" t="s">
        <v>287</v>
      </c>
      <c r="B29" t="s">
        <v>288</v>
      </c>
      <c r="C29">
        <v>20716</v>
      </c>
      <c r="D29">
        <v>5.2457633333333398</v>
      </c>
      <c r="E29" s="1" t="s">
        <v>289</v>
      </c>
      <c r="F29" t="s">
        <v>290</v>
      </c>
    </row>
    <row r="30" spans="1:6" x14ac:dyDescent="0.3">
      <c r="A30" t="s">
        <v>291</v>
      </c>
      <c r="B30" t="s">
        <v>292</v>
      </c>
      <c r="C30">
        <v>433470</v>
      </c>
      <c r="D30">
        <v>5.1942700000000004</v>
      </c>
      <c r="E30" s="1" t="s">
        <v>293</v>
      </c>
      <c r="F30" t="s">
        <v>294</v>
      </c>
    </row>
    <row r="31" spans="1:6" x14ac:dyDescent="0.3">
      <c r="A31" t="s">
        <v>295</v>
      </c>
      <c r="B31" t="s">
        <v>296</v>
      </c>
      <c r="C31">
        <v>15958</v>
      </c>
      <c r="D31">
        <v>5.1608281666666702</v>
      </c>
      <c r="E31" s="1" t="s">
        <v>213</v>
      </c>
      <c r="F31" t="s">
        <v>297</v>
      </c>
    </row>
    <row r="32" spans="1:6" x14ac:dyDescent="0.3">
      <c r="A32" t="s">
        <v>298</v>
      </c>
      <c r="B32" t="s">
        <v>299</v>
      </c>
      <c r="C32">
        <v>12655</v>
      </c>
      <c r="D32">
        <v>5.1327426666666698</v>
      </c>
      <c r="E32" s="1" t="s">
        <v>300</v>
      </c>
      <c r="F32" t="s">
        <v>301</v>
      </c>
    </row>
    <row r="33" spans="1:6" x14ac:dyDescent="0.3">
      <c r="A33" t="s">
        <v>302</v>
      </c>
      <c r="B33" t="s">
        <v>303</v>
      </c>
      <c r="C33">
        <v>12642</v>
      </c>
      <c r="D33">
        <v>5.1323828333333399</v>
      </c>
      <c r="E33" s="1" t="s">
        <v>304</v>
      </c>
      <c r="F33" t="s">
        <v>305</v>
      </c>
    </row>
    <row r="34" spans="1:6" x14ac:dyDescent="0.3">
      <c r="A34" t="s">
        <v>306</v>
      </c>
      <c r="B34" t="s">
        <v>307</v>
      </c>
      <c r="C34">
        <v>24110</v>
      </c>
      <c r="D34">
        <v>5.0372657500000004</v>
      </c>
      <c r="E34" s="1" t="s">
        <v>308</v>
      </c>
      <c r="F34" t="s">
        <v>309</v>
      </c>
    </row>
    <row r="35" spans="1:6" x14ac:dyDescent="0.3">
      <c r="A35" t="s">
        <v>310</v>
      </c>
      <c r="B35" t="s">
        <v>311</v>
      </c>
      <c r="C35">
        <v>15439</v>
      </c>
      <c r="D35">
        <v>5.0149748333333299</v>
      </c>
      <c r="E35" s="1" t="s">
        <v>312</v>
      </c>
      <c r="F35" t="s">
        <v>313</v>
      </c>
    </row>
    <row r="36" spans="1:6" x14ac:dyDescent="0.3">
      <c r="A36" t="s">
        <v>314</v>
      </c>
      <c r="B36" t="s">
        <v>315</v>
      </c>
      <c r="C36">
        <v>20715</v>
      </c>
      <c r="D36">
        <v>4.9631119166666702</v>
      </c>
      <c r="E36" s="1" t="s">
        <v>316</v>
      </c>
      <c r="F36" t="s">
        <v>317</v>
      </c>
    </row>
    <row r="37" spans="1:6" x14ac:dyDescent="0.3">
      <c r="A37" t="s">
        <v>318</v>
      </c>
      <c r="B37" t="s">
        <v>319</v>
      </c>
      <c r="C37">
        <v>20750</v>
      </c>
      <c r="D37">
        <v>4.9374271666666596</v>
      </c>
      <c r="E37" s="1" t="s">
        <v>320</v>
      </c>
      <c r="F37" t="s">
        <v>321</v>
      </c>
    </row>
    <row r="38" spans="1:6" x14ac:dyDescent="0.3">
      <c r="A38" t="s">
        <v>322</v>
      </c>
      <c r="B38" t="s">
        <v>323</v>
      </c>
      <c r="C38">
        <v>21857</v>
      </c>
      <c r="D38">
        <v>4.8461878333333397</v>
      </c>
      <c r="E38" s="1" t="s">
        <v>324</v>
      </c>
      <c r="F38" t="s">
        <v>325</v>
      </c>
    </row>
    <row r="39" spans="1:6" x14ac:dyDescent="0.3">
      <c r="A39" t="s">
        <v>27</v>
      </c>
      <c r="B39" t="s">
        <v>26</v>
      </c>
      <c r="C39">
        <v>20302</v>
      </c>
      <c r="D39">
        <v>4.7982430833333298</v>
      </c>
      <c r="E39" s="1" t="s">
        <v>207</v>
      </c>
      <c r="F39" t="s">
        <v>326</v>
      </c>
    </row>
    <row r="40" spans="1:6" x14ac:dyDescent="0.3">
      <c r="A40" t="s">
        <v>327</v>
      </c>
      <c r="B40" t="s">
        <v>328</v>
      </c>
      <c r="C40">
        <v>104183</v>
      </c>
      <c r="D40">
        <v>4.6475024166666703</v>
      </c>
      <c r="E40" s="1" t="s">
        <v>329</v>
      </c>
      <c r="F40" t="s">
        <v>330</v>
      </c>
    </row>
    <row r="41" spans="1:6" x14ac:dyDescent="0.3">
      <c r="A41" t="s">
        <v>331</v>
      </c>
      <c r="B41" t="s">
        <v>332</v>
      </c>
      <c r="C41">
        <v>15114</v>
      </c>
      <c r="D41">
        <v>4.5899814166666699</v>
      </c>
      <c r="E41" s="1" t="s">
        <v>333</v>
      </c>
      <c r="F41" t="s">
        <v>334</v>
      </c>
    </row>
    <row r="42" spans="1:6" x14ac:dyDescent="0.3">
      <c r="A42" t="s">
        <v>335</v>
      </c>
      <c r="B42" t="s">
        <v>336</v>
      </c>
      <c r="C42">
        <v>23886</v>
      </c>
      <c r="D42">
        <v>4.5406152500000001</v>
      </c>
      <c r="E42" s="1" t="s">
        <v>337</v>
      </c>
      <c r="F42" t="s">
        <v>338</v>
      </c>
    </row>
    <row r="43" spans="1:6" x14ac:dyDescent="0.3">
      <c r="A43" t="s">
        <v>339</v>
      </c>
      <c r="B43" t="s">
        <v>340</v>
      </c>
      <c r="C43" t="s">
        <v>239</v>
      </c>
      <c r="D43">
        <v>4.4992225000000001</v>
      </c>
      <c r="E43">
        <v>1.9442355161015501E-3</v>
      </c>
      <c r="F43" t="s">
        <v>341</v>
      </c>
    </row>
    <row r="44" spans="1:6" x14ac:dyDescent="0.3">
      <c r="A44" t="s">
        <v>342</v>
      </c>
      <c r="B44" t="s">
        <v>343</v>
      </c>
      <c r="C44">
        <v>14990</v>
      </c>
      <c r="D44">
        <v>4.45822875</v>
      </c>
      <c r="E44" s="1" t="s">
        <v>344</v>
      </c>
      <c r="F44" t="s">
        <v>345</v>
      </c>
    </row>
    <row r="45" spans="1:6" x14ac:dyDescent="0.3">
      <c r="A45" t="s">
        <v>346</v>
      </c>
      <c r="B45" t="s">
        <v>347</v>
      </c>
      <c r="C45">
        <v>80861</v>
      </c>
      <c r="D45">
        <v>4.4227189166666703</v>
      </c>
      <c r="E45" s="1" t="s">
        <v>348</v>
      </c>
      <c r="F45" t="s">
        <v>349</v>
      </c>
    </row>
    <row r="46" spans="1:6" x14ac:dyDescent="0.3">
      <c r="A46" t="s">
        <v>350</v>
      </c>
      <c r="B46" t="s">
        <v>351</v>
      </c>
      <c r="C46">
        <v>100038947</v>
      </c>
      <c r="D46">
        <v>4.3831090000000001</v>
      </c>
      <c r="E46" s="1" t="s">
        <v>352</v>
      </c>
      <c r="F46" t="s">
        <v>353</v>
      </c>
    </row>
    <row r="47" spans="1:6" x14ac:dyDescent="0.3">
      <c r="A47" t="s">
        <v>354</v>
      </c>
      <c r="B47" t="s">
        <v>355</v>
      </c>
      <c r="C47">
        <v>71934</v>
      </c>
      <c r="D47">
        <v>4.3814989999999998</v>
      </c>
      <c r="E47" s="1" t="s">
        <v>273</v>
      </c>
      <c r="F47" t="s">
        <v>356</v>
      </c>
    </row>
    <row r="48" spans="1:6" x14ac:dyDescent="0.3">
      <c r="A48" t="s">
        <v>357</v>
      </c>
      <c r="B48" t="s">
        <v>358</v>
      </c>
      <c r="C48">
        <v>20612</v>
      </c>
      <c r="D48">
        <v>4.3387190000000002</v>
      </c>
      <c r="E48" s="1" t="s">
        <v>359</v>
      </c>
      <c r="F48" t="s">
        <v>360</v>
      </c>
    </row>
    <row r="49" spans="1:6" x14ac:dyDescent="0.3">
      <c r="A49" t="s">
        <v>361</v>
      </c>
      <c r="B49" t="s">
        <v>362</v>
      </c>
      <c r="C49">
        <v>245195</v>
      </c>
      <c r="D49">
        <v>4.3049949999999999</v>
      </c>
      <c r="E49" s="1" t="s">
        <v>363</v>
      </c>
      <c r="F49" t="s">
        <v>364</v>
      </c>
    </row>
    <row r="50" spans="1:6" x14ac:dyDescent="0.3">
      <c r="A50" t="s">
        <v>365</v>
      </c>
      <c r="B50" t="s">
        <v>366</v>
      </c>
      <c r="C50">
        <v>246256</v>
      </c>
      <c r="D50">
        <v>4.2782187499999997</v>
      </c>
      <c r="E50" s="1" t="s">
        <v>367</v>
      </c>
      <c r="F50" t="s">
        <v>368</v>
      </c>
    </row>
    <row r="51" spans="1:6" x14ac:dyDescent="0.3">
      <c r="A51" t="s">
        <v>369</v>
      </c>
      <c r="B51" t="s">
        <v>370</v>
      </c>
      <c r="C51">
        <v>75750</v>
      </c>
      <c r="D51">
        <v>4.2183165000000002</v>
      </c>
      <c r="E51" s="1" t="s">
        <v>371</v>
      </c>
      <c r="F51" t="s">
        <v>372</v>
      </c>
    </row>
    <row r="52" spans="1:6" x14ac:dyDescent="0.3">
      <c r="A52" t="s">
        <v>373</v>
      </c>
      <c r="B52" t="s">
        <v>374</v>
      </c>
      <c r="C52">
        <v>17768</v>
      </c>
      <c r="D52">
        <v>4.1778046666666704</v>
      </c>
      <c r="E52" s="1" t="s">
        <v>267</v>
      </c>
      <c r="F52" t="s">
        <v>375</v>
      </c>
    </row>
    <row r="53" spans="1:6" x14ac:dyDescent="0.3">
      <c r="A53" t="s">
        <v>376</v>
      </c>
      <c r="B53" t="s">
        <v>377</v>
      </c>
      <c r="C53">
        <v>219132</v>
      </c>
      <c r="D53">
        <v>4.1203029166666703</v>
      </c>
      <c r="E53" s="1" t="s">
        <v>378</v>
      </c>
      <c r="F53" t="s">
        <v>379</v>
      </c>
    </row>
    <row r="54" spans="1:6" x14ac:dyDescent="0.3">
      <c r="A54" t="s">
        <v>380</v>
      </c>
      <c r="B54" t="s">
        <v>381</v>
      </c>
      <c r="C54" t="s">
        <v>239</v>
      </c>
      <c r="D54">
        <v>4.1086939166666703</v>
      </c>
      <c r="E54" s="1" t="s">
        <v>382</v>
      </c>
      <c r="F54" t="s">
        <v>383</v>
      </c>
    </row>
    <row r="55" spans="1:6" x14ac:dyDescent="0.3">
      <c r="A55" t="s">
        <v>384</v>
      </c>
      <c r="B55" t="s">
        <v>385</v>
      </c>
      <c r="C55">
        <v>213002</v>
      </c>
      <c r="D55">
        <v>4.0895480833333302</v>
      </c>
      <c r="E55" s="1" t="s">
        <v>217</v>
      </c>
      <c r="F55" t="s">
        <v>386</v>
      </c>
    </row>
    <row r="56" spans="1:6" x14ac:dyDescent="0.3">
      <c r="A56" t="s">
        <v>387</v>
      </c>
      <c r="B56" t="s">
        <v>388</v>
      </c>
      <c r="C56">
        <v>12984</v>
      </c>
      <c r="D56">
        <v>4.0680303333333301</v>
      </c>
      <c r="E56" s="1" t="s">
        <v>389</v>
      </c>
      <c r="F56" t="s">
        <v>390</v>
      </c>
    </row>
    <row r="57" spans="1:6" x14ac:dyDescent="0.3">
      <c r="A57" t="s">
        <v>391</v>
      </c>
      <c r="B57" t="s">
        <v>392</v>
      </c>
      <c r="C57">
        <v>15368</v>
      </c>
      <c r="D57">
        <v>4.0545623333333296</v>
      </c>
      <c r="E57" s="1" t="s">
        <v>393</v>
      </c>
      <c r="F57" t="s">
        <v>394</v>
      </c>
    </row>
    <row r="58" spans="1:6" x14ac:dyDescent="0.3">
      <c r="A58" t="s">
        <v>395</v>
      </c>
      <c r="B58" t="s">
        <v>396</v>
      </c>
      <c r="C58">
        <v>17474</v>
      </c>
      <c r="D58">
        <v>3.9970706666666702</v>
      </c>
      <c r="E58" s="1" t="s">
        <v>397</v>
      </c>
      <c r="F58" t="s">
        <v>398</v>
      </c>
    </row>
    <row r="59" spans="1:6" x14ac:dyDescent="0.3">
      <c r="A59" t="s">
        <v>399</v>
      </c>
      <c r="B59" t="s">
        <v>400</v>
      </c>
      <c r="C59">
        <v>110557</v>
      </c>
      <c r="D59">
        <v>3.98508341666667</v>
      </c>
      <c r="E59" s="1" t="s">
        <v>401</v>
      </c>
      <c r="F59" t="s">
        <v>402</v>
      </c>
    </row>
    <row r="60" spans="1:6" x14ac:dyDescent="0.3">
      <c r="A60" t="s">
        <v>62</v>
      </c>
      <c r="B60" t="s">
        <v>61</v>
      </c>
      <c r="C60">
        <v>55985</v>
      </c>
      <c r="D60">
        <v>3.9284114166666702</v>
      </c>
      <c r="E60" s="1" t="s">
        <v>403</v>
      </c>
      <c r="F60" t="s">
        <v>404</v>
      </c>
    </row>
    <row r="61" spans="1:6" x14ac:dyDescent="0.3">
      <c r="A61" t="s">
        <v>405</v>
      </c>
      <c r="B61" t="s">
        <v>406</v>
      </c>
      <c r="C61">
        <v>16145</v>
      </c>
      <c r="D61">
        <v>3.8980524166666699</v>
      </c>
      <c r="E61" s="1" t="s">
        <v>407</v>
      </c>
      <c r="F61" t="s">
        <v>408</v>
      </c>
    </row>
    <row r="62" spans="1:6" x14ac:dyDescent="0.3">
      <c r="A62" t="s">
        <v>409</v>
      </c>
      <c r="B62" t="s">
        <v>410</v>
      </c>
      <c r="C62">
        <v>57444</v>
      </c>
      <c r="D62">
        <v>3.8943688333333402</v>
      </c>
      <c r="E62" s="1" t="s">
        <v>267</v>
      </c>
      <c r="F62" t="s">
        <v>411</v>
      </c>
    </row>
    <row r="63" spans="1:6" x14ac:dyDescent="0.3">
      <c r="A63" t="s">
        <v>412</v>
      </c>
      <c r="B63" t="s">
        <v>413</v>
      </c>
      <c r="C63">
        <v>23960</v>
      </c>
      <c r="D63">
        <v>3.87323225</v>
      </c>
      <c r="E63" s="1" t="s">
        <v>257</v>
      </c>
      <c r="F63" t="s">
        <v>414</v>
      </c>
    </row>
    <row r="64" spans="1:6" x14ac:dyDescent="0.3">
      <c r="A64" t="s">
        <v>415</v>
      </c>
      <c r="B64" t="s">
        <v>416</v>
      </c>
      <c r="C64">
        <v>12515</v>
      </c>
      <c r="D64">
        <v>3.8667141666666698</v>
      </c>
      <c r="E64" s="1" t="s">
        <v>417</v>
      </c>
      <c r="F64" t="s">
        <v>418</v>
      </c>
    </row>
    <row r="65" spans="1:6" x14ac:dyDescent="0.3">
      <c r="A65" t="s">
        <v>419</v>
      </c>
      <c r="B65" t="s">
        <v>420</v>
      </c>
      <c r="C65">
        <v>58185</v>
      </c>
      <c r="D65">
        <v>3.8395966666666701</v>
      </c>
      <c r="E65" s="1" t="s">
        <v>285</v>
      </c>
      <c r="F65" t="s">
        <v>421</v>
      </c>
    </row>
    <row r="66" spans="1:6" x14ac:dyDescent="0.3">
      <c r="A66" t="s">
        <v>422</v>
      </c>
      <c r="B66" t="s">
        <v>423</v>
      </c>
      <c r="C66">
        <v>55932</v>
      </c>
      <c r="D66">
        <v>3.8221000833333401</v>
      </c>
      <c r="E66" s="1" t="s">
        <v>424</v>
      </c>
      <c r="F66" t="s">
        <v>425</v>
      </c>
    </row>
    <row r="67" spans="1:6" x14ac:dyDescent="0.3">
      <c r="A67" t="s">
        <v>426</v>
      </c>
      <c r="B67" t="s">
        <v>427</v>
      </c>
      <c r="C67">
        <v>23961</v>
      </c>
      <c r="D67">
        <v>3.7812570000000001</v>
      </c>
      <c r="E67" s="1" t="s">
        <v>428</v>
      </c>
      <c r="F67" t="s">
        <v>429</v>
      </c>
    </row>
    <row r="68" spans="1:6" x14ac:dyDescent="0.3">
      <c r="A68" t="s">
        <v>430</v>
      </c>
      <c r="B68" t="s">
        <v>431</v>
      </c>
      <c r="C68">
        <v>227659</v>
      </c>
      <c r="D68">
        <v>3.7715144999999999</v>
      </c>
      <c r="E68" s="1" t="s">
        <v>432</v>
      </c>
      <c r="F68" t="s">
        <v>433</v>
      </c>
    </row>
    <row r="69" spans="1:6" x14ac:dyDescent="0.3">
      <c r="A69" t="s">
        <v>434</v>
      </c>
      <c r="B69" t="s">
        <v>435</v>
      </c>
      <c r="C69" t="s">
        <v>239</v>
      </c>
      <c r="D69">
        <v>3.7433812500000001</v>
      </c>
      <c r="E69" s="1" t="s">
        <v>393</v>
      </c>
      <c r="F69" t="s">
        <v>436</v>
      </c>
    </row>
    <row r="70" spans="1:6" x14ac:dyDescent="0.3">
      <c r="A70" t="s">
        <v>437</v>
      </c>
      <c r="B70" t="s">
        <v>438</v>
      </c>
      <c r="C70">
        <v>50778</v>
      </c>
      <c r="D70">
        <v>3.7040507499999999</v>
      </c>
      <c r="E70" s="1" t="s">
        <v>439</v>
      </c>
      <c r="F70" t="s">
        <v>440</v>
      </c>
    </row>
    <row r="71" spans="1:6" x14ac:dyDescent="0.3">
      <c r="A71" t="s">
        <v>441</v>
      </c>
      <c r="B71" t="s">
        <v>442</v>
      </c>
      <c r="C71">
        <v>104174</v>
      </c>
      <c r="D71">
        <v>3.6938471666666701</v>
      </c>
      <c r="E71" s="1" t="s">
        <v>443</v>
      </c>
      <c r="F71" t="s">
        <v>444</v>
      </c>
    </row>
    <row r="72" spans="1:6" x14ac:dyDescent="0.3">
      <c r="A72" t="s">
        <v>445</v>
      </c>
      <c r="B72" t="s">
        <v>445</v>
      </c>
      <c r="C72" t="s">
        <v>239</v>
      </c>
      <c r="D72">
        <v>3.6899860000000002</v>
      </c>
      <c r="E72" s="1" t="s">
        <v>446</v>
      </c>
      <c r="F72" t="s">
        <v>239</v>
      </c>
    </row>
    <row r="73" spans="1:6" x14ac:dyDescent="0.3">
      <c r="A73" t="s">
        <v>447</v>
      </c>
      <c r="B73" t="s">
        <v>448</v>
      </c>
      <c r="C73">
        <v>209387</v>
      </c>
      <c r="D73">
        <v>3.6678039999999998</v>
      </c>
      <c r="E73" s="1" t="s">
        <v>449</v>
      </c>
      <c r="F73" t="s">
        <v>450</v>
      </c>
    </row>
    <row r="74" spans="1:6" x14ac:dyDescent="0.3">
      <c r="A74" t="s">
        <v>451</v>
      </c>
      <c r="B74" t="s">
        <v>452</v>
      </c>
      <c r="C74">
        <v>12046</v>
      </c>
      <c r="D74">
        <v>3.66734141666667</v>
      </c>
      <c r="E74" s="1" t="s">
        <v>453</v>
      </c>
      <c r="F74" t="s">
        <v>454</v>
      </c>
    </row>
    <row r="75" spans="1:6" x14ac:dyDescent="0.3">
      <c r="A75" t="s">
        <v>455</v>
      </c>
      <c r="B75" t="s">
        <v>456</v>
      </c>
      <c r="C75">
        <v>434341</v>
      </c>
      <c r="D75">
        <v>3.6572591666666701</v>
      </c>
      <c r="E75" s="1" t="s">
        <v>457</v>
      </c>
      <c r="F75" t="s">
        <v>458</v>
      </c>
    </row>
    <row r="76" spans="1:6" x14ac:dyDescent="0.3">
      <c r="A76" t="s">
        <v>459</v>
      </c>
      <c r="B76" t="s">
        <v>460</v>
      </c>
      <c r="C76">
        <v>17750</v>
      </c>
      <c r="D76">
        <v>3.6520429999999999</v>
      </c>
      <c r="E76" s="1" t="s">
        <v>461</v>
      </c>
      <c r="F76" t="s">
        <v>462</v>
      </c>
    </row>
    <row r="77" spans="1:6" x14ac:dyDescent="0.3">
      <c r="A77" t="s">
        <v>463</v>
      </c>
      <c r="B77" t="s">
        <v>464</v>
      </c>
      <c r="C77">
        <v>16768</v>
      </c>
      <c r="D77">
        <v>3.6396524166666699</v>
      </c>
      <c r="E77" s="1" t="s">
        <v>465</v>
      </c>
      <c r="F77" t="s">
        <v>466</v>
      </c>
    </row>
    <row r="78" spans="1:6" x14ac:dyDescent="0.3">
      <c r="A78" t="s">
        <v>467</v>
      </c>
      <c r="B78" t="s">
        <v>468</v>
      </c>
      <c r="C78" t="s">
        <v>239</v>
      </c>
      <c r="D78">
        <v>3.6281987500000001</v>
      </c>
      <c r="E78" s="1" t="s">
        <v>469</v>
      </c>
      <c r="F78" t="s">
        <v>470</v>
      </c>
    </row>
    <row r="79" spans="1:6" x14ac:dyDescent="0.3">
      <c r="A79" t="s">
        <v>471</v>
      </c>
      <c r="B79" t="s">
        <v>472</v>
      </c>
      <c r="C79">
        <v>19039</v>
      </c>
      <c r="D79">
        <v>3.6207695833333302</v>
      </c>
      <c r="E79" s="1" t="s">
        <v>285</v>
      </c>
      <c r="F79" t="s">
        <v>473</v>
      </c>
    </row>
    <row r="80" spans="1:6" x14ac:dyDescent="0.3">
      <c r="A80" t="s">
        <v>474</v>
      </c>
      <c r="B80" t="s">
        <v>475</v>
      </c>
      <c r="C80">
        <v>107272</v>
      </c>
      <c r="D80">
        <v>3.61982108333333</v>
      </c>
      <c r="E80" s="1" t="s">
        <v>476</v>
      </c>
      <c r="F80" t="s">
        <v>477</v>
      </c>
    </row>
    <row r="81" spans="1:6" x14ac:dyDescent="0.3">
      <c r="A81" t="s">
        <v>478</v>
      </c>
      <c r="B81" t="s">
        <v>479</v>
      </c>
      <c r="C81">
        <v>12702</v>
      </c>
      <c r="D81">
        <v>3.6007768333333301</v>
      </c>
      <c r="E81" s="1" t="s">
        <v>480</v>
      </c>
      <c r="F81" t="s">
        <v>481</v>
      </c>
    </row>
    <row r="82" spans="1:6" x14ac:dyDescent="0.3">
      <c r="A82" t="s">
        <v>482</v>
      </c>
      <c r="B82" t="s">
        <v>483</v>
      </c>
      <c r="C82">
        <v>15186</v>
      </c>
      <c r="D82">
        <v>3.58053166666667</v>
      </c>
      <c r="E82" s="1" t="s">
        <v>484</v>
      </c>
      <c r="F82" t="s">
        <v>485</v>
      </c>
    </row>
    <row r="83" spans="1:6" x14ac:dyDescent="0.3">
      <c r="A83" t="s">
        <v>486</v>
      </c>
      <c r="B83" t="s">
        <v>487</v>
      </c>
      <c r="C83">
        <v>226695</v>
      </c>
      <c r="D83">
        <v>3.5477025000000002</v>
      </c>
      <c r="E83">
        <v>2.88909518327096E-3</v>
      </c>
      <c r="F83" t="s">
        <v>488</v>
      </c>
    </row>
    <row r="84" spans="1:6" x14ac:dyDescent="0.3">
      <c r="A84" t="s">
        <v>489</v>
      </c>
      <c r="B84" t="s">
        <v>490</v>
      </c>
      <c r="C84">
        <v>240913</v>
      </c>
      <c r="D84">
        <v>3.5381477499999998</v>
      </c>
      <c r="E84" s="1" t="s">
        <v>491</v>
      </c>
      <c r="F84" t="s">
        <v>492</v>
      </c>
    </row>
    <row r="85" spans="1:6" x14ac:dyDescent="0.3">
      <c r="A85" t="s">
        <v>180</v>
      </c>
      <c r="B85" t="s">
        <v>179</v>
      </c>
      <c r="C85">
        <v>24047</v>
      </c>
      <c r="D85">
        <v>3.51222383333333</v>
      </c>
      <c r="E85" s="1" t="s">
        <v>493</v>
      </c>
      <c r="F85" t="s">
        <v>494</v>
      </c>
    </row>
    <row r="86" spans="1:6" x14ac:dyDescent="0.3">
      <c r="A86" t="s">
        <v>495</v>
      </c>
      <c r="B86" t="s">
        <v>496</v>
      </c>
      <c r="C86">
        <v>57875</v>
      </c>
      <c r="D86">
        <v>3.5035908333333401</v>
      </c>
      <c r="E86" s="1" t="s">
        <v>497</v>
      </c>
      <c r="F86" t="s">
        <v>498</v>
      </c>
    </row>
    <row r="87" spans="1:6" x14ac:dyDescent="0.3">
      <c r="A87" t="s">
        <v>499</v>
      </c>
      <c r="B87" t="s">
        <v>500</v>
      </c>
      <c r="C87">
        <v>69550</v>
      </c>
      <c r="D87">
        <v>3.4983854999999999</v>
      </c>
      <c r="E87" s="1" t="s">
        <v>501</v>
      </c>
      <c r="F87" t="s">
        <v>502</v>
      </c>
    </row>
    <row r="88" spans="1:6" x14ac:dyDescent="0.3">
      <c r="A88" t="s">
        <v>503</v>
      </c>
      <c r="B88" t="s">
        <v>504</v>
      </c>
      <c r="C88">
        <v>17392</v>
      </c>
      <c r="D88">
        <v>3.4957051666666699</v>
      </c>
      <c r="E88" s="1" t="s">
        <v>371</v>
      </c>
      <c r="F88" t="s">
        <v>505</v>
      </c>
    </row>
    <row r="89" spans="1:6" x14ac:dyDescent="0.3">
      <c r="A89" t="s">
        <v>506</v>
      </c>
      <c r="B89" t="s">
        <v>507</v>
      </c>
      <c r="C89">
        <v>16975</v>
      </c>
      <c r="D89">
        <v>3.47904691666667</v>
      </c>
      <c r="E89" s="1" t="s">
        <v>508</v>
      </c>
      <c r="F89" t="s">
        <v>509</v>
      </c>
    </row>
    <row r="90" spans="1:6" x14ac:dyDescent="0.3">
      <c r="A90" t="s">
        <v>100</v>
      </c>
      <c r="B90" t="s">
        <v>99</v>
      </c>
      <c r="C90">
        <v>14825</v>
      </c>
      <c r="D90">
        <v>3.4383952500000001</v>
      </c>
      <c r="E90" s="1" t="s">
        <v>510</v>
      </c>
      <c r="F90" t="s">
        <v>511</v>
      </c>
    </row>
    <row r="91" spans="1:6" x14ac:dyDescent="0.3">
      <c r="A91" t="s">
        <v>512</v>
      </c>
      <c r="B91" t="s">
        <v>513</v>
      </c>
      <c r="C91">
        <v>110279</v>
      </c>
      <c r="D91">
        <v>3.43028983333333</v>
      </c>
      <c r="E91" s="1" t="s">
        <v>514</v>
      </c>
      <c r="F91" t="s">
        <v>515</v>
      </c>
    </row>
    <row r="92" spans="1:6" x14ac:dyDescent="0.3">
      <c r="A92" t="s">
        <v>516</v>
      </c>
      <c r="B92" t="s">
        <v>517</v>
      </c>
      <c r="C92">
        <v>68774</v>
      </c>
      <c r="D92">
        <v>3.4030719999999999</v>
      </c>
      <c r="E92" s="1" t="s">
        <v>518</v>
      </c>
      <c r="F92" t="s">
        <v>519</v>
      </c>
    </row>
    <row r="93" spans="1:6" x14ac:dyDescent="0.3">
      <c r="A93" t="s">
        <v>520</v>
      </c>
      <c r="B93" t="s">
        <v>521</v>
      </c>
      <c r="C93">
        <v>381413</v>
      </c>
      <c r="D93">
        <v>3.3930315000000002</v>
      </c>
      <c r="E93" s="1" t="s">
        <v>522</v>
      </c>
      <c r="F93" t="s">
        <v>523</v>
      </c>
    </row>
    <row r="94" spans="1:6" x14ac:dyDescent="0.3">
      <c r="A94" t="s">
        <v>524</v>
      </c>
      <c r="B94" t="s">
        <v>525</v>
      </c>
      <c r="C94">
        <v>16638</v>
      </c>
      <c r="D94">
        <v>3.3771070833333399</v>
      </c>
      <c r="E94" s="1" t="s">
        <v>526</v>
      </c>
      <c r="F94" t="s">
        <v>527</v>
      </c>
    </row>
    <row r="95" spans="1:6" x14ac:dyDescent="0.3">
      <c r="A95" t="s">
        <v>528</v>
      </c>
      <c r="B95" t="s">
        <v>529</v>
      </c>
      <c r="C95">
        <v>110956</v>
      </c>
      <c r="D95">
        <v>3.3734069999999998</v>
      </c>
      <c r="E95" s="1" t="s">
        <v>530</v>
      </c>
      <c r="F95" t="s">
        <v>531</v>
      </c>
    </row>
    <row r="96" spans="1:6" x14ac:dyDescent="0.3">
      <c r="A96" t="s">
        <v>532</v>
      </c>
      <c r="B96" t="s">
        <v>533</v>
      </c>
      <c r="C96">
        <v>20201</v>
      </c>
      <c r="D96">
        <v>3.3606178333333401</v>
      </c>
      <c r="E96" s="1" t="s">
        <v>534</v>
      </c>
      <c r="F96" t="s">
        <v>535</v>
      </c>
    </row>
    <row r="97" spans="1:6" x14ac:dyDescent="0.3">
      <c r="A97" t="s">
        <v>536</v>
      </c>
      <c r="B97" t="s">
        <v>537</v>
      </c>
      <c r="C97">
        <v>24108</v>
      </c>
      <c r="D97">
        <v>3.3553487500000001</v>
      </c>
      <c r="E97" s="1" t="s">
        <v>538</v>
      </c>
      <c r="F97" t="s">
        <v>539</v>
      </c>
    </row>
    <row r="98" spans="1:6" x14ac:dyDescent="0.3">
      <c r="A98" t="s">
        <v>540</v>
      </c>
      <c r="B98" t="s">
        <v>541</v>
      </c>
      <c r="C98">
        <v>20555</v>
      </c>
      <c r="D98">
        <v>3.3167247500000001</v>
      </c>
      <c r="E98" s="1" t="s">
        <v>542</v>
      </c>
      <c r="F98" t="s">
        <v>543</v>
      </c>
    </row>
    <row r="99" spans="1:6" x14ac:dyDescent="0.3">
      <c r="A99" t="s">
        <v>544</v>
      </c>
      <c r="B99" t="s">
        <v>545</v>
      </c>
      <c r="C99">
        <v>15953</v>
      </c>
      <c r="D99">
        <v>3.3051583333333299</v>
      </c>
      <c r="E99" s="1" t="s">
        <v>546</v>
      </c>
      <c r="F99" t="s">
        <v>547</v>
      </c>
    </row>
    <row r="100" spans="1:6" x14ac:dyDescent="0.3">
      <c r="A100" t="s">
        <v>548</v>
      </c>
      <c r="B100" t="s">
        <v>549</v>
      </c>
      <c r="C100">
        <v>12517</v>
      </c>
      <c r="D100">
        <v>3.2822714999999998</v>
      </c>
      <c r="E100" s="1" t="s">
        <v>550</v>
      </c>
      <c r="F100" t="s">
        <v>551</v>
      </c>
    </row>
    <row r="101" spans="1:6" x14ac:dyDescent="0.3">
      <c r="A101" t="s">
        <v>552</v>
      </c>
      <c r="B101" t="s">
        <v>553</v>
      </c>
      <c r="C101">
        <v>20339</v>
      </c>
      <c r="D101">
        <v>3.2738404999999999</v>
      </c>
      <c r="E101" s="1" t="s">
        <v>554</v>
      </c>
      <c r="F101" t="s">
        <v>555</v>
      </c>
    </row>
    <row r="102" spans="1:6" x14ac:dyDescent="0.3">
      <c r="A102" t="s">
        <v>556</v>
      </c>
      <c r="B102" t="s">
        <v>557</v>
      </c>
      <c r="C102">
        <v>60533</v>
      </c>
      <c r="D102">
        <v>3.2726616666666701</v>
      </c>
      <c r="E102" s="1" t="s">
        <v>558</v>
      </c>
      <c r="F102" t="s">
        <v>559</v>
      </c>
    </row>
    <row r="103" spans="1:6" x14ac:dyDescent="0.3">
      <c r="A103" t="s">
        <v>560</v>
      </c>
      <c r="B103" t="s">
        <v>561</v>
      </c>
      <c r="C103">
        <v>23962</v>
      </c>
      <c r="D103">
        <v>3.2203489166666701</v>
      </c>
      <c r="E103" s="1" t="s">
        <v>304</v>
      </c>
      <c r="F103" t="s">
        <v>562</v>
      </c>
    </row>
    <row r="104" spans="1:6" x14ac:dyDescent="0.3">
      <c r="A104" t="s">
        <v>563</v>
      </c>
      <c r="B104" t="s">
        <v>564</v>
      </c>
      <c r="C104">
        <v>15018</v>
      </c>
      <c r="D104">
        <v>3.2052034166666701</v>
      </c>
      <c r="E104" s="1" t="s">
        <v>304</v>
      </c>
      <c r="F104" t="s">
        <v>565</v>
      </c>
    </row>
    <row r="105" spans="1:6" x14ac:dyDescent="0.3">
      <c r="A105" t="s">
        <v>566</v>
      </c>
      <c r="B105" t="s">
        <v>567</v>
      </c>
      <c r="C105">
        <v>18726</v>
      </c>
      <c r="D105">
        <v>3.1965865</v>
      </c>
      <c r="E105" s="1" t="s">
        <v>568</v>
      </c>
      <c r="F105" t="s">
        <v>569</v>
      </c>
    </row>
    <row r="106" spans="1:6" x14ac:dyDescent="0.3">
      <c r="A106" t="s">
        <v>570</v>
      </c>
      <c r="B106" t="s">
        <v>571</v>
      </c>
      <c r="C106">
        <v>71586</v>
      </c>
      <c r="D106">
        <v>3.1932831666666699</v>
      </c>
      <c r="E106" s="1" t="s">
        <v>572</v>
      </c>
      <c r="F106" t="s">
        <v>573</v>
      </c>
    </row>
    <row r="107" spans="1:6" x14ac:dyDescent="0.3">
      <c r="A107" t="s">
        <v>574</v>
      </c>
      <c r="B107" t="s">
        <v>575</v>
      </c>
      <c r="C107">
        <v>14972</v>
      </c>
      <c r="D107">
        <v>3.1834230833333299</v>
      </c>
      <c r="E107" s="1" t="s">
        <v>576</v>
      </c>
      <c r="F107" t="s">
        <v>577</v>
      </c>
    </row>
    <row r="108" spans="1:6" x14ac:dyDescent="0.3">
      <c r="A108" t="s">
        <v>578</v>
      </c>
      <c r="B108" t="s">
        <v>579</v>
      </c>
      <c r="C108">
        <v>72054</v>
      </c>
      <c r="D108">
        <v>3.1723995</v>
      </c>
      <c r="E108" s="1" t="s">
        <v>580</v>
      </c>
      <c r="F108" t="s">
        <v>581</v>
      </c>
    </row>
    <row r="109" spans="1:6" x14ac:dyDescent="0.3">
      <c r="A109" t="s">
        <v>582</v>
      </c>
      <c r="B109" t="s">
        <v>583</v>
      </c>
      <c r="C109">
        <v>12363</v>
      </c>
      <c r="D109">
        <v>3.1672549166666699</v>
      </c>
      <c r="E109" s="1" t="s">
        <v>584</v>
      </c>
      <c r="F109" t="s">
        <v>585</v>
      </c>
    </row>
    <row r="110" spans="1:6" x14ac:dyDescent="0.3">
      <c r="A110" t="s">
        <v>586</v>
      </c>
      <c r="B110" t="s">
        <v>587</v>
      </c>
      <c r="C110">
        <v>327957</v>
      </c>
      <c r="D110">
        <v>3.1666043333333298</v>
      </c>
      <c r="E110" s="1" t="s">
        <v>588</v>
      </c>
      <c r="F110" t="s">
        <v>589</v>
      </c>
    </row>
    <row r="111" spans="1:6" x14ac:dyDescent="0.3">
      <c r="A111" t="s">
        <v>590</v>
      </c>
      <c r="B111" t="s">
        <v>591</v>
      </c>
      <c r="C111">
        <v>21946</v>
      </c>
      <c r="D111">
        <v>3.1643360833333301</v>
      </c>
      <c r="E111" s="1" t="s">
        <v>234</v>
      </c>
      <c r="F111" t="s">
        <v>592</v>
      </c>
    </row>
    <row r="112" spans="1:6" x14ac:dyDescent="0.3">
      <c r="A112" t="s">
        <v>593</v>
      </c>
      <c r="B112" t="s">
        <v>594</v>
      </c>
      <c r="C112">
        <v>74153</v>
      </c>
      <c r="D112">
        <v>3.1583938333333399</v>
      </c>
      <c r="E112" s="1" t="s">
        <v>595</v>
      </c>
      <c r="F112" t="s">
        <v>596</v>
      </c>
    </row>
    <row r="113" spans="1:6" x14ac:dyDescent="0.3">
      <c r="A113" t="s">
        <v>597</v>
      </c>
      <c r="B113" t="s">
        <v>598</v>
      </c>
      <c r="C113">
        <v>18383</v>
      </c>
      <c r="D113">
        <v>3.1499679999999999</v>
      </c>
      <c r="E113" s="1" t="s">
        <v>599</v>
      </c>
      <c r="F113" t="s">
        <v>600</v>
      </c>
    </row>
    <row r="114" spans="1:6" x14ac:dyDescent="0.3">
      <c r="A114" t="s">
        <v>601</v>
      </c>
      <c r="B114" t="s">
        <v>602</v>
      </c>
      <c r="C114">
        <v>13654</v>
      </c>
      <c r="D114">
        <v>3.1498731666666702</v>
      </c>
      <c r="E114" s="1" t="s">
        <v>603</v>
      </c>
      <c r="F114" t="s">
        <v>604</v>
      </c>
    </row>
    <row r="115" spans="1:6" x14ac:dyDescent="0.3">
      <c r="A115" t="s">
        <v>36</v>
      </c>
      <c r="B115" t="s">
        <v>35</v>
      </c>
      <c r="C115">
        <v>20307</v>
      </c>
      <c r="D115">
        <v>3.14591025</v>
      </c>
      <c r="E115">
        <v>1.1606698782631599E-4</v>
      </c>
      <c r="F115" t="s">
        <v>605</v>
      </c>
    </row>
    <row r="116" spans="1:6" x14ac:dyDescent="0.3">
      <c r="A116" t="s">
        <v>606</v>
      </c>
      <c r="B116" t="s">
        <v>607</v>
      </c>
      <c r="C116">
        <v>14129</v>
      </c>
      <c r="D116">
        <v>3.1416770000000001</v>
      </c>
      <c r="E116" s="1" t="s">
        <v>480</v>
      </c>
      <c r="F116" t="s">
        <v>608</v>
      </c>
    </row>
    <row r="117" spans="1:6" x14ac:dyDescent="0.3">
      <c r="A117" t="s">
        <v>609</v>
      </c>
      <c r="B117" t="s">
        <v>610</v>
      </c>
      <c r="C117">
        <v>20343</v>
      </c>
      <c r="D117">
        <v>3.1399802499999998</v>
      </c>
      <c r="E117" s="1" t="s">
        <v>611</v>
      </c>
      <c r="F117" t="s">
        <v>612</v>
      </c>
    </row>
    <row r="118" spans="1:6" x14ac:dyDescent="0.3">
      <c r="A118" t="s">
        <v>613</v>
      </c>
      <c r="B118" t="s">
        <v>614</v>
      </c>
      <c r="C118">
        <v>142980</v>
      </c>
      <c r="D118">
        <v>3.0835675</v>
      </c>
      <c r="E118" s="1" t="s">
        <v>236</v>
      </c>
      <c r="F118" t="s">
        <v>615</v>
      </c>
    </row>
    <row r="119" spans="1:6" x14ac:dyDescent="0.3">
      <c r="A119" t="s">
        <v>616</v>
      </c>
      <c r="B119" t="s">
        <v>617</v>
      </c>
      <c r="C119">
        <v>65221</v>
      </c>
      <c r="D119">
        <v>3.0802597500000002</v>
      </c>
      <c r="E119" s="1" t="s">
        <v>618</v>
      </c>
      <c r="F119" t="s">
        <v>619</v>
      </c>
    </row>
    <row r="120" spans="1:6" x14ac:dyDescent="0.3">
      <c r="A120" t="s">
        <v>126</v>
      </c>
      <c r="B120" t="s">
        <v>125</v>
      </c>
      <c r="C120">
        <v>20293</v>
      </c>
      <c r="D120">
        <v>3.07499375</v>
      </c>
      <c r="E120" s="1" t="s">
        <v>620</v>
      </c>
      <c r="F120" t="s">
        <v>621</v>
      </c>
    </row>
    <row r="121" spans="1:6" x14ac:dyDescent="0.3">
      <c r="A121" t="s">
        <v>622</v>
      </c>
      <c r="B121" t="s">
        <v>623</v>
      </c>
      <c r="C121">
        <v>319446</v>
      </c>
      <c r="D121">
        <v>3.0694007499999998</v>
      </c>
      <c r="E121" s="1" t="s">
        <v>624</v>
      </c>
      <c r="F121" t="s">
        <v>625</v>
      </c>
    </row>
    <row r="122" spans="1:6" x14ac:dyDescent="0.3">
      <c r="A122" t="s">
        <v>626</v>
      </c>
      <c r="B122" t="s">
        <v>627</v>
      </c>
      <c r="C122">
        <v>20698</v>
      </c>
      <c r="D122">
        <v>3.0520842500000001</v>
      </c>
      <c r="E122" s="1" t="s">
        <v>628</v>
      </c>
      <c r="F122" t="s">
        <v>629</v>
      </c>
    </row>
    <row r="123" spans="1:6" x14ac:dyDescent="0.3">
      <c r="A123" t="s">
        <v>630</v>
      </c>
      <c r="B123" t="s">
        <v>631</v>
      </c>
      <c r="C123">
        <v>27053</v>
      </c>
      <c r="D123">
        <v>3.04659833333334</v>
      </c>
      <c r="E123" s="1" t="s">
        <v>277</v>
      </c>
      <c r="F123" t="s">
        <v>632</v>
      </c>
    </row>
    <row r="124" spans="1:6" x14ac:dyDescent="0.3">
      <c r="A124" t="s">
        <v>633</v>
      </c>
      <c r="B124" t="s">
        <v>634</v>
      </c>
      <c r="C124">
        <v>171285</v>
      </c>
      <c r="D124">
        <v>3.0202817500000001</v>
      </c>
      <c r="E124" s="1" t="s">
        <v>635</v>
      </c>
      <c r="F124" t="s">
        <v>636</v>
      </c>
    </row>
    <row r="125" spans="1:6" x14ac:dyDescent="0.3">
      <c r="A125" t="s">
        <v>637</v>
      </c>
      <c r="B125" t="s">
        <v>638</v>
      </c>
      <c r="C125">
        <v>13078</v>
      </c>
      <c r="D125">
        <v>3.0086099166666598</v>
      </c>
      <c r="E125" s="1" t="s">
        <v>639</v>
      </c>
      <c r="F125" t="s">
        <v>640</v>
      </c>
    </row>
    <row r="126" spans="1:6" x14ac:dyDescent="0.3">
      <c r="A126" t="s">
        <v>641</v>
      </c>
      <c r="B126" t="s">
        <v>642</v>
      </c>
      <c r="C126">
        <v>70110</v>
      </c>
      <c r="D126">
        <v>3.0028827499999999</v>
      </c>
      <c r="E126" s="1" t="s">
        <v>643</v>
      </c>
      <c r="F126" t="s">
        <v>644</v>
      </c>
    </row>
    <row r="127" spans="1:6" x14ac:dyDescent="0.3">
      <c r="A127" t="s">
        <v>645</v>
      </c>
      <c r="B127" t="s">
        <v>646</v>
      </c>
      <c r="C127">
        <v>246727</v>
      </c>
      <c r="D127">
        <v>2.9698570833333302</v>
      </c>
      <c r="E127" s="1" t="s">
        <v>491</v>
      </c>
      <c r="F127" t="s">
        <v>647</v>
      </c>
    </row>
    <row r="128" spans="1:6" x14ac:dyDescent="0.3">
      <c r="A128" t="s">
        <v>648</v>
      </c>
      <c r="B128" t="s">
        <v>649</v>
      </c>
      <c r="C128">
        <v>16854</v>
      </c>
      <c r="D128">
        <v>2.9661451666666698</v>
      </c>
      <c r="E128" s="1" t="s">
        <v>650</v>
      </c>
      <c r="F128" t="s">
        <v>651</v>
      </c>
    </row>
    <row r="129" spans="1:6" x14ac:dyDescent="0.3">
      <c r="A129" t="s">
        <v>652</v>
      </c>
      <c r="B129" t="s">
        <v>653</v>
      </c>
      <c r="C129">
        <v>18991</v>
      </c>
      <c r="D129">
        <v>2.9594468333333301</v>
      </c>
      <c r="E129" s="1" t="s">
        <v>654</v>
      </c>
      <c r="F129" t="s">
        <v>655</v>
      </c>
    </row>
    <row r="130" spans="1:6" x14ac:dyDescent="0.3">
      <c r="A130" t="s">
        <v>656</v>
      </c>
      <c r="B130" t="s">
        <v>657</v>
      </c>
      <c r="C130">
        <v>99899</v>
      </c>
      <c r="D130">
        <v>2.94485316666667</v>
      </c>
      <c r="E130" s="1" t="s">
        <v>658</v>
      </c>
      <c r="F130" t="s">
        <v>659</v>
      </c>
    </row>
    <row r="131" spans="1:6" x14ac:dyDescent="0.3">
      <c r="A131" t="s">
        <v>660</v>
      </c>
      <c r="B131" t="s">
        <v>661</v>
      </c>
      <c r="C131">
        <v>21825</v>
      </c>
      <c r="D131">
        <v>2.9369134166666702</v>
      </c>
      <c r="E131" s="1" t="s">
        <v>662</v>
      </c>
      <c r="F131" t="s">
        <v>663</v>
      </c>
    </row>
    <row r="132" spans="1:6" x14ac:dyDescent="0.3">
      <c r="A132" t="s">
        <v>664</v>
      </c>
      <c r="B132" t="s">
        <v>665</v>
      </c>
      <c r="C132">
        <v>381484</v>
      </c>
      <c r="D132">
        <v>2.9366715833333301</v>
      </c>
      <c r="E132" s="1" t="s">
        <v>666</v>
      </c>
      <c r="F132" t="s">
        <v>667</v>
      </c>
    </row>
    <row r="133" spans="1:6" x14ac:dyDescent="0.3">
      <c r="A133" t="s">
        <v>668</v>
      </c>
      <c r="B133" t="s">
        <v>669</v>
      </c>
      <c r="C133">
        <v>268709</v>
      </c>
      <c r="D133">
        <v>2.9267919166666698</v>
      </c>
      <c r="E133" s="1" t="s">
        <v>670</v>
      </c>
      <c r="F133" t="s">
        <v>671</v>
      </c>
    </row>
    <row r="134" spans="1:6" x14ac:dyDescent="0.3">
      <c r="A134" t="s">
        <v>672</v>
      </c>
      <c r="B134" t="s">
        <v>673</v>
      </c>
      <c r="C134">
        <v>11910</v>
      </c>
      <c r="D134">
        <v>2.9154900000000001</v>
      </c>
      <c r="E134" s="1" t="s">
        <v>674</v>
      </c>
      <c r="F134" t="s">
        <v>675</v>
      </c>
    </row>
    <row r="135" spans="1:6" x14ac:dyDescent="0.3">
      <c r="A135" t="s">
        <v>676</v>
      </c>
      <c r="B135" t="s">
        <v>677</v>
      </c>
      <c r="C135">
        <v>13198</v>
      </c>
      <c r="D135">
        <v>2.9087643333333402</v>
      </c>
      <c r="E135" s="1" t="s">
        <v>678</v>
      </c>
      <c r="F135" t="s">
        <v>679</v>
      </c>
    </row>
    <row r="136" spans="1:6" x14ac:dyDescent="0.3">
      <c r="A136" t="s">
        <v>680</v>
      </c>
      <c r="B136" t="s">
        <v>680</v>
      </c>
      <c r="C136" t="s">
        <v>239</v>
      </c>
      <c r="D136">
        <v>2.9086625000000002</v>
      </c>
      <c r="E136" s="1" t="s">
        <v>681</v>
      </c>
      <c r="F136" t="s">
        <v>239</v>
      </c>
    </row>
    <row r="137" spans="1:6" x14ac:dyDescent="0.3">
      <c r="A137" t="s">
        <v>682</v>
      </c>
      <c r="B137" t="s">
        <v>683</v>
      </c>
      <c r="C137">
        <v>231805</v>
      </c>
      <c r="D137">
        <v>2.8958223333333302</v>
      </c>
      <c r="E137" s="1" t="s">
        <v>684</v>
      </c>
      <c r="F137" t="s">
        <v>685</v>
      </c>
    </row>
    <row r="138" spans="1:6" x14ac:dyDescent="0.3">
      <c r="A138" t="s">
        <v>686</v>
      </c>
      <c r="B138" t="s">
        <v>687</v>
      </c>
      <c r="C138">
        <v>22029</v>
      </c>
      <c r="D138">
        <v>2.8953989166666698</v>
      </c>
      <c r="E138">
        <v>1.3221755461099199E-4</v>
      </c>
      <c r="F138" t="s">
        <v>688</v>
      </c>
    </row>
    <row r="139" spans="1:6" x14ac:dyDescent="0.3">
      <c r="A139" t="s">
        <v>689</v>
      </c>
      <c r="B139" t="s">
        <v>690</v>
      </c>
      <c r="C139">
        <v>56791</v>
      </c>
      <c r="D139">
        <v>2.8777425000000001</v>
      </c>
      <c r="E139" s="1" t="s">
        <v>691</v>
      </c>
      <c r="F139" t="s">
        <v>692</v>
      </c>
    </row>
    <row r="140" spans="1:6" x14ac:dyDescent="0.3">
      <c r="A140" t="s">
        <v>693</v>
      </c>
      <c r="B140" t="s">
        <v>694</v>
      </c>
      <c r="C140">
        <v>229898</v>
      </c>
      <c r="D140">
        <v>2.8621854999999998</v>
      </c>
      <c r="E140" s="1" t="s">
        <v>695</v>
      </c>
      <c r="F140" t="s">
        <v>696</v>
      </c>
    </row>
    <row r="141" spans="1:6" x14ac:dyDescent="0.3">
      <c r="A141" t="s">
        <v>697</v>
      </c>
      <c r="B141" t="s">
        <v>698</v>
      </c>
      <c r="C141">
        <v>77125</v>
      </c>
      <c r="D141">
        <v>2.8610108333333302</v>
      </c>
      <c r="E141" s="1" t="s">
        <v>344</v>
      </c>
      <c r="F141" t="s">
        <v>699</v>
      </c>
    </row>
    <row r="142" spans="1:6" x14ac:dyDescent="0.3">
      <c r="A142" t="s">
        <v>700</v>
      </c>
      <c r="B142" t="s">
        <v>701</v>
      </c>
      <c r="C142">
        <v>20344</v>
      </c>
      <c r="D142">
        <v>2.8469422500000001</v>
      </c>
      <c r="E142" s="1" t="s">
        <v>603</v>
      </c>
      <c r="F142" t="s">
        <v>702</v>
      </c>
    </row>
    <row r="143" spans="1:6" x14ac:dyDescent="0.3">
      <c r="A143" t="s">
        <v>703</v>
      </c>
      <c r="B143" t="s">
        <v>704</v>
      </c>
      <c r="C143">
        <v>171180</v>
      </c>
      <c r="D143">
        <v>2.8432358333333401</v>
      </c>
      <c r="E143" s="1" t="s">
        <v>705</v>
      </c>
      <c r="F143" t="s">
        <v>706</v>
      </c>
    </row>
    <row r="144" spans="1:6" x14ac:dyDescent="0.3">
      <c r="A144" t="s">
        <v>707</v>
      </c>
      <c r="B144" t="s">
        <v>708</v>
      </c>
      <c r="C144">
        <v>279572</v>
      </c>
      <c r="D144">
        <v>2.8253760833333299</v>
      </c>
      <c r="E144" s="1" t="s">
        <v>234</v>
      </c>
      <c r="F144" t="s">
        <v>709</v>
      </c>
    </row>
    <row r="145" spans="1:6" x14ac:dyDescent="0.3">
      <c r="A145" t="s">
        <v>710</v>
      </c>
      <c r="B145" t="s">
        <v>711</v>
      </c>
      <c r="C145">
        <v>83490</v>
      </c>
      <c r="D145">
        <v>2.8218215</v>
      </c>
      <c r="E145" s="1" t="s">
        <v>712</v>
      </c>
      <c r="F145" t="s">
        <v>713</v>
      </c>
    </row>
    <row r="146" spans="1:6" x14ac:dyDescent="0.3">
      <c r="A146" t="s">
        <v>714</v>
      </c>
      <c r="B146" t="s">
        <v>715</v>
      </c>
      <c r="C146">
        <v>54396</v>
      </c>
      <c r="D146">
        <v>2.8100649166666698</v>
      </c>
      <c r="E146" s="1" t="s">
        <v>716</v>
      </c>
      <c r="F146" t="s">
        <v>717</v>
      </c>
    </row>
    <row r="147" spans="1:6" x14ac:dyDescent="0.3">
      <c r="A147" t="s">
        <v>718</v>
      </c>
      <c r="B147" t="s">
        <v>719</v>
      </c>
      <c r="C147">
        <v>56636</v>
      </c>
      <c r="D147">
        <v>2.7929645000000001</v>
      </c>
      <c r="E147" s="1" t="s">
        <v>720</v>
      </c>
      <c r="F147" t="s">
        <v>721</v>
      </c>
    </row>
    <row r="148" spans="1:6" x14ac:dyDescent="0.3">
      <c r="A148" t="s">
        <v>722</v>
      </c>
      <c r="B148" t="s">
        <v>723</v>
      </c>
      <c r="C148">
        <v>22169</v>
      </c>
      <c r="D148">
        <v>2.78292283333333</v>
      </c>
      <c r="E148" s="1" t="s">
        <v>724</v>
      </c>
      <c r="F148" t="s">
        <v>725</v>
      </c>
    </row>
    <row r="149" spans="1:6" x14ac:dyDescent="0.3">
      <c r="A149" t="s">
        <v>726</v>
      </c>
      <c r="B149" t="s">
        <v>726</v>
      </c>
      <c r="C149" t="s">
        <v>239</v>
      </c>
      <c r="D149">
        <v>2.7794575833333299</v>
      </c>
      <c r="E149" s="1" t="s">
        <v>727</v>
      </c>
      <c r="F149" t="s">
        <v>239</v>
      </c>
    </row>
    <row r="150" spans="1:6" x14ac:dyDescent="0.3">
      <c r="A150" t="s">
        <v>728</v>
      </c>
      <c r="B150" t="s">
        <v>729</v>
      </c>
      <c r="C150">
        <v>16822</v>
      </c>
      <c r="D150">
        <v>2.7667259999999998</v>
      </c>
      <c r="E150" s="1" t="s">
        <v>705</v>
      </c>
      <c r="F150" t="s">
        <v>730</v>
      </c>
    </row>
    <row r="151" spans="1:6" x14ac:dyDescent="0.3">
      <c r="A151" t="s">
        <v>731</v>
      </c>
      <c r="B151" t="s">
        <v>732</v>
      </c>
      <c r="C151">
        <v>380839</v>
      </c>
      <c r="D151">
        <v>2.7556124999999998</v>
      </c>
      <c r="E151">
        <v>8.8309701737127001E-4</v>
      </c>
      <c r="F151" t="s">
        <v>733</v>
      </c>
    </row>
    <row r="152" spans="1:6" x14ac:dyDescent="0.3">
      <c r="A152" t="s">
        <v>734</v>
      </c>
      <c r="B152" t="s">
        <v>735</v>
      </c>
      <c r="C152">
        <v>21923</v>
      </c>
      <c r="D152">
        <v>2.7466659999999998</v>
      </c>
      <c r="E152">
        <v>6.5867594892072396E-4</v>
      </c>
      <c r="F152" t="s">
        <v>736</v>
      </c>
    </row>
    <row r="153" spans="1:6" x14ac:dyDescent="0.3">
      <c r="A153" t="s">
        <v>737</v>
      </c>
      <c r="B153" t="s">
        <v>738</v>
      </c>
      <c r="C153">
        <v>20556</v>
      </c>
      <c r="D153">
        <v>2.74219358333333</v>
      </c>
      <c r="E153" s="1" t="s">
        <v>739</v>
      </c>
      <c r="F153" t="s">
        <v>740</v>
      </c>
    </row>
    <row r="154" spans="1:6" x14ac:dyDescent="0.3">
      <c r="A154" t="s">
        <v>741</v>
      </c>
      <c r="B154" t="s">
        <v>742</v>
      </c>
      <c r="C154">
        <v>16178</v>
      </c>
      <c r="D154">
        <v>2.7308784166666702</v>
      </c>
      <c r="E154" s="1" t="s">
        <v>743</v>
      </c>
      <c r="F154" t="s">
        <v>744</v>
      </c>
    </row>
    <row r="155" spans="1:6" x14ac:dyDescent="0.3">
      <c r="A155" t="s">
        <v>745</v>
      </c>
      <c r="B155" t="s">
        <v>746</v>
      </c>
      <c r="C155">
        <v>16172</v>
      </c>
      <c r="D155">
        <v>2.7286474166666701</v>
      </c>
      <c r="E155" s="1" t="s">
        <v>747</v>
      </c>
      <c r="F155" t="s">
        <v>748</v>
      </c>
    </row>
    <row r="156" spans="1:6" x14ac:dyDescent="0.3">
      <c r="A156" t="s">
        <v>749</v>
      </c>
      <c r="B156" t="s">
        <v>750</v>
      </c>
      <c r="C156">
        <v>547253</v>
      </c>
      <c r="D156">
        <v>2.7238485833333299</v>
      </c>
      <c r="E156" s="1" t="s">
        <v>751</v>
      </c>
      <c r="F156" t="s">
        <v>752</v>
      </c>
    </row>
    <row r="157" spans="1:6" x14ac:dyDescent="0.3">
      <c r="A157" t="s">
        <v>753</v>
      </c>
      <c r="B157" t="s">
        <v>754</v>
      </c>
      <c r="C157">
        <v>74568</v>
      </c>
      <c r="D157">
        <v>2.7200188333333299</v>
      </c>
      <c r="E157" s="1" t="s">
        <v>367</v>
      </c>
      <c r="F157" t="s">
        <v>755</v>
      </c>
    </row>
    <row r="158" spans="1:6" x14ac:dyDescent="0.3">
      <c r="A158" t="s">
        <v>756</v>
      </c>
      <c r="B158" t="s">
        <v>757</v>
      </c>
      <c r="C158">
        <v>14229</v>
      </c>
      <c r="D158">
        <v>2.71679775</v>
      </c>
      <c r="E158" s="1" t="s">
        <v>758</v>
      </c>
      <c r="F158" t="s">
        <v>759</v>
      </c>
    </row>
    <row r="159" spans="1:6" x14ac:dyDescent="0.3">
      <c r="A159" t="s">
        <v>760</v>
      </c>
      <c r="B159" t="s">
        <v>761</v>
      </c>
      <c r="C159">
        <v>246728</v>
      </c>
      <c r="D159">
        <v>2.7115975833333299</v>
      </c>
      <c r="E159" s="1" t="s">
        <v>762</v>
      </c>
      <c r="F159" t="s">
        <v>763</v>
      </c>
    </row>
    <row r="160" spans="1:6" x14ac:dyDescent="0.3">
      <c r="A160" t="s">
        <v>764</v>
      </c>
      <c r="B160" t="s">
        <v>765</v>
      </c>
      <c r="C160">
        <v>269799</v>
      </c>
      <c r="D160">
        <v>2.7101472499999999</v>
      </c>
      <c r="E160" s="1" t="s">
        <v>766</v>
      </c>
      <c r="F160" t="s">
        <v>767</v>
      </c>
    </row>
    <row r="161" spans="1:6" x14ac:dyDescent="0.3">
      <c r="A161" t="s">
        <v>768</v>
      </c>
      <c r="B161" t="s">
        <v>769</v>
      </c>
      <c r="C161">
        <v>671535</v>
      </c>
      <c r="D161">
        <v>2.6813555833333398</v>
      </c>
      <c r="E161" s="1" t="s">
        <v>770</v>
      </c>
      <c r="F161" t="s">
        <v>771</v>
      </c>
    </row>
    <row r="162" spans="1:6" x14ac:dyDescent="0.3">
      <c r="A162" t="s">
        <v>102</v>
      </c>
      <c r="B162" t="s">
        <v>101</v>
      </c>
      <c r="C162">
        <v>17329</v>
      </c>
      <c r="D162">
        <v>2.6724270833333299</v>
      </c>
      <c r="E162" s="1" t="s">
        <v>772</v>
      </c>
      <c r="F162" t="s">
        <v>773</v>
      </c>
    </row>
    <row r="163" spans="1:6" x14ac:dyDescent="0.3">
      <c r="A163" t="s">
        <v>774</v>
      </c>
      <c r="B163" t="s">
        <v>775</v>
      </c>
      <c r="C163">
        <v>68662</v>
      </c>
      <c r="D163">
        <v>2.65784158333333</v>
      </c>
      <c r="E163" s="1" t="s">
        <v>776</v>
      </c>
      <c r="F163" t="s">
        <v>777</v>
      </c>
    </row>
    <row r="164" spans="1:6" x14ac:dyDescent="0.3">
      <c r="A164" t="s">
        <v>778</v>
      </c>
      <c r="B164" t="s">
        <v>779</v>
      </c>
      <c r="C164">
        <v>75547</v>
      </c>
      <c r="D164">
        <v>2.6536765833333398</v>
      </c>
      <c r="E164" s="1" t="s">
        <v>780</v>
      </c>
      <c r="F164" t="s">
        <v>781</v>
      </c>
    </row>
    <row r="165" spans="1:6" x14ac:dyDescent="0.3">
      <c r="A165" t="s">
        <v>782</v>
      </c>
      <c r="B165" t="s">
        <v>783</v>
      </c>
      <c r="C165">
        <v>229900</v>
      </c>
      <c r="D165">
        <v>2.6532958333333299</v>
      </c>
      <c r="E165" s="1" t="s">
        <v>784</v>
      </c>
      <c r="F165" t="s">
        <v>785</v>
      </c>
    </row>
    <row r="166" spans="1:6" x14ac:dyDescent="0.3">
      <c r="A166" t="s">
        <v>786</v>
      </c>
      <c r="B166" t="s">
        <v>787</v>
      </c>
      <c r="C166">
        <v>58218</v>
      </c>
      <c r="D166">
        <v>2.6488925000000001</v>
      </c>
      <c r="E166" s="1" t="s">
        <v>788</v>
      </c>
      <c r="F166" t="s">
        <v>789</v>
      </c>
    </row>
    <row r="167" spans="1:6" x14ac:dyDescent="0.3">
      <c r="A167" t="s">
        <v>790</v>
      </c>
      <c r="B167" t="s">
        <v>791</v>
      </c>
      <c r="C167">
        <v>22436</v>
      </c>
      <c r="D167">
        <v>2.6442981666666698</v>
      </c>
      <c r="E167" s="1" t="s">
        <v>792</v>
      </c>
      <c r="F167" t="s">
        <v>793</v>
      </c>
    </row>
    <row r="168" spans="1:6" x14ac:dyDescent="0.3">
      <c r="A168" t="s">
        <v>794</v>
      </c>
      <c r="B168" t="s">
        <v>795</v>
      </c>
      <c r="C168">
        <v>14469</v>
      </c>
      <c r="D168">
        <v>2.64406083333333</v>
      </c>
      <c r="E168" s="1" t="s">
        <v>796</v>
      </c>
      <c r="F168" t="s">
        <v>797</v>
      </c>
    </row>
    <row r="169" spans="1:6" x14ac:dyDescent="0.3">
      <c r="A169" t="s">
        <v>798</v>
      </c>
      <c r="B169" t="s">
        <v>799</v>
      </c>
      <c r="C169">
        <v>107321</v>
      </c>
      <c r="D169">
        <v>2.6357360000000001</v>
      </c>
      <c r="E169" s="1" t="s">
        <v>800</v>
      </c>
      <c r="F169" t="s">
        <v>801</v>
      </c>
    </row>
    <row r="170" spans="1:6" x14ac:dyDescent="0.3">
      <c r="A170" t="s">
        <v>802</v>
      </c>
      <c r="B170" t="s">
        <v>803</v>
      </c>
      <c r="C170">
        <v>225870</v>
      </c>
      <c r="D170">
        <v>2.6243868333333298</v>
      </c>
      <c r="E170" s="1" t="s">
        <v>804</v>
      </c>
      <c r="F170" t="s">
        <v>805</v>
      </c>
    </row>
    <row r="171" spans="1:6" x14ac:dyDescent="0.3">
      <c r="A171" t="s">
        <v>806</v>
      </c>
      <c r="B171" t="s">
        <v>807</v>
      </c>
      <c r="C171">
        <v>228775</v>
      </c>
      <c r="D171">
        <v>2.6172360000000001</v>
      </c>
      <c r="E171" s="1" t="s">
        <v>808</v>
      </c>
      <c r="F171" t="s">
        <v>809</v>
      </c>
    </row>
    <row r="172" spans="1:6" x14ac:dyDescent="0.3">
      <c r="A172" t="s">
        <v>810</v>
      </c>
      <c r="B172" t="s">
        <v>811</v>
      </c>
      <c r="C172">
        <v>170741</v>
      </c>
      <c r="D172">
        <v>2.6103237500000001</v>
      </c>
      <c r="E172">
        <v>2.5177776183574901E-4</v>
      </c>
      <c r="F172" t="s">
        <v>812</v>
      </c>
    </row>
    <row r="173" spans="1:6" x14ac:dyDescent="0.3">
      <c r="A173" t="s">
        <v>813</v>
      </c>
      <c r="B173" t="s">
        <v>814</v>
      </c>
      <c r="C173">
        <v>19106</v>
      </c>
      <c r="D173">
        <v>2.6054711666666699</v>
      </c>
      <c r="E173" s="1" t="s">
        <v>815</v>
      </c>
      <c r="F173" t="s">
        <v>816</v>
      </c>
    </row>
    <row r="174" spans="1:6" x14ac:dyDescent="0.3">
      <c r="A174" t="s">
        <v>817</v>
      </c>
      <c r="B174" t="s">
        <v>818</v>
      </c>
      <c r="C174">
        <v>15894</v>
      </c>
      <c r="D174">
        <v>2.60181858333334</v>
      </c>
      <c r="E174" s="1" t="s">
        <v>819</v>
      </c>
      <c r="F174" t="s">
        <v>820</v>
      </c>
    </row>
    <row r="175" spans="1:6" x14ac:dyDescent="0.3">
      <c r="A175" t="s">
        <v>821</v>
      </c>
      <c r="B175" t="s">
        <v>822</v>
      </c>
      <c r="C175">
        <v>14058</v>
      </c>
      <c r="D175">
        <v>2.6001147499999999</v>
      </c>
      <c r="E175" s="1" t="s">
        <v>823</v>
      </c>
      <c r="F175" t="s">
        <v>824</v>
      </c>
    </row>
    <row r="176" spans="1:6" x14ac:dyDescent="0.3">
      <c r="A176" t="s">
        <v>825</v>
      </c>
      <c r="B176" t="s">
        <v>825</v>
      </c>
      <c r="C176" t="s">
        <v>239</v>
      </c>
      <c r="D176">
        <v>2.5913279166666698</v>
      </c>
      <c r="E176" s="1" t="s">
        <v>826</v>
      </c>
      <c r="F176" t="s">
        <v>239</v>
      </c>
    </row>
    <row r="177" spans="1:6" x14ac:dyDescent="0.3">
      <c r="A177" t="s">
        <v>827</v>
      </c>
      <c r="B177" t="s">
        <v>828</v>
      </c>
      <c r="C177">
        <v>20847</v>
      </c>
      <c r="D177">
        <v>2.58809966666667</v>
      </c>
      <c r="E177" s="1" t="s">
        <v>829</v>
      </c>
      <c r="F177" t="s">
        <v>830</v>
      </c>
    </row>
    <row r="178" spans="1:6" x14ac:dyDescent="0.3">
      <c r="A178" t="s">
        <v>831</v>
      </c>
      <c r="B178" t="s">
        <v>832</v>
      </c>
      <c r="C178">
        <v>75746</v>
      </c>
      <c r="D178">
        <v>2.5866766666666701</v>
      </c>
      <c r="E178" s="1" t="s">
        <v>833</v>
      </c>
      <c r="F178" t="s">
        <v>834</v>
      </c>
    </row>
    <row r="179" spans="1:6" x14ac:dyDescent="0.3">
      <c r="A179" t="s">
        <v>835</v>
      </c>
      <c r="B179" t="s">
        <v>836</v>
      </c>
      <c r="C179">
        <v>13421</v>
      </c>
      <c r="D179">
        <v>2.58313533333334</v>
      </c>
      <c r="E179">
        <v>2.1907900843149301E-4</v>
      </c>
      <c r="F179" t="s">
        <v>837</v>
      </c>
    </row>
    <row r="180" spans="1:6" x14ac:dyDescent="0.3">
      <c r="A180" t="s">
        <v>838</v>
      </c>
      <c r="B180" t="s">
        <v>839</v>
      </c>
      <c r="C180">
        <v>30935</v>
      </c>
      <c r="D180">
        <v>2.57770258333333</v>
      </c>
      <c r="E180" s="1" t="s">
        <v>840</v>
      </c>
      <c r="F180" t="s">
        <v>841</v>
      </c>
    </row>
    <row r="181" spans="1:6" x14ac:dyDescent="0.3">
      <c r="A181" t="s">
        <v>842</v>
      </c>
      <c r="B181" t="s">
        <v>843</v>
      </c>
      <c r="C181">
        <v>434218</v>
      </c>
      <c r="D181">
        <v>2.56204066666667</v>
      </c>
      <c r="E181">
        <v>1.17234523293025E-4</v>
      </c>
      <c r="F181" t="s">
        <v>844</v>
      </c>
    </row>
    <row r="182" spans="1:6" x14ac:dyDescent="0.3">
      <c r="A182" t="s">
        <v>845</v>
      </c>
      <c r="B182" t="s">
        <v>846</v>
      </c>
      <c r="C182">
        <v>83554</v>
      </c>
      <c r="D182">
        <v>2.55383733333333</v>
      </c>
      <c r="E182" s="1" t="s">
        <v>847</v>
      </c>
      <c r="F182" t="s">
        <v>848</v>
      </c>
    </row>
    <row r="183" spans="1:6" x14ac:dyDescent="0.3">
      <c r="A183" t="s">
        <v>849</v>
      </c>
      <c r="B183" t="s">
        <v>850</v>
      </c>
      <c r="C183">
        <v>214854</v>
      </c>
      <c r="D183">
        <v>2.5536462499999999</v>
      </c>
      <c r="E183" s="1" t="s">
        <v>851</v>
      </c>
      <c r="F183" t="s">
        <v>852</v>
      </c>
    </row>
    <row r="184" spans="1:6" x14ac:dyDescent="0.3">
      <c r="A184" t="s">
        <v>853</v>
      </c>
      <c r="B184" t="s">
        <v>854</v>
      </c>
      <c r="C184">
        <v>74481</v>
      </c>
      <c r="D184">
        <v>2.55321525</v>
      </c>
      <c r="E184" s="1" t="s">
        <v>855</v>
      </c>
      <c r="F184" t="s">
        <v>856</v>
      </c>
    </row>
    <row r="185" spans="1:6" x14ac:dyDescent="0.3">
      <c r="A185" t="s">
        <v>52</v>
      </c>
      <c r="B185" t="s">
        <v>51</v>
      </c>
      <c r="C185">
        <v>20292</v>
      </c>
      <c r="D185">
        <v>2.55216491666667</v>
      </c>
      <c r="E185" s="1" t="s">
        <v>857</v>
      </c>
      <c r="F185" t="s">
        <v>858</v>
      </c>
    </row>
    <row r="186" spans="1:6" x14ac:dyDescent="0.3">
      <c r="A186" t="s">
        <v>859</v>
      </c>
      <c r="B186" t="s">
        <v>860</v>
      </c>
      <c r="C186">
        <v>21822</v>
      </c>
      <c r="D186">
        <v>2.5503243333333301</v>
      </c>
      <c r="E186" s="1" t="s">
        <v>861</v>
      </c>
      <c r="F186" t="s">
        <v>862</v>
      </c>
    </row>
    <row r="187" spans="1:6" x14ac:dyDescent="0.3">
      <c r="A187" t="s">
        <v>863</v>
      </c>
      <c r="B187" t="s">
        <v>864</v>
      </c>
      <c r="C187">
        <v>17972</v>
      </c>
      <c r="D187">
        <v>2.54871141666667</v>
      </c>
      <c r="E187">
        <v>1.2316443651606799E-4</v>
      </c>
      <c r="F187" t="s">
        <v>865</v>
      </c>
    </row>
    <row r="188" spans="1:6" x14ac:dyDescent="0.3">
      <c r="A188" t="s">
        <v>866</v>
      </c>
      <c r="B188" t="s">
        <v>867</v>
      </c>
      <c r="C188">
        <v>226419</v>
      </c>
      <c r="D188">
        <v>2.54600275</v>
      </c>
      <c r="E188" s="1" t="s">
        <v>868</v>
      </c>
      <c r="F188" t="s">
        <v>869</v>
      </c>
    </row>
    <row r="189" spans="1:6" x14ac:dyDescent="0.3">
      <c r="A189" t="s">
        <v>870</v>
      </c>
      <c r="B189" t="s">
        <v>871</v>
      </c>
      <c r="C189">
        <v>73149</v>
      </c>
      <c r="D189">
        <v>2.5012713333333298</v>
      </c>
      <c r="E189" s="1" t="s">
        <v>872</v>
      </c>
      <c r="F189" t="s">
        <v>873</v>
      </c>
    </row>
    <row r="190" spans="1:6" x14ac:dyDescent="0.3">
      <c r="A190" t="s">
        <v>874</v>
      </c>
      <c r="B190" t="s">
        <v>875</v>
      </c>
      <c r="C190">
        <v>16391</v>
      </c>
      <c r="D190">
        <v>2.49676891666667</v>
      </c>
      <c r="E190" s="1" t="s">
        <v>876</v>
      </c>
      <c r="F190" t="s">
        <v>877</v>
      </c>
    </row>
    <row r="191" spans="1:6" x14ac:dyDescent="0.3">
      <c r="A191" t="s">
        <v>878</v>
      </c>
      <c r="B191" t="s">
        <v>879</v>
      </c>
      <c r="C191">
        <v>21929</v>
      </c>
      <c r="D191">
        <v>2.4953623333333401</v>
      </c>
      <c r="E191" s="1" t="s">
        <v>880</v>
      </c>
      <c r="F191" t="s">
        <v>881</v>
      </c>
    </row>
    <row r="192" spans="1:6" x14ac:dyDescent="0.3">
      <c r="A192" t="s">
        <v>882</v>
      </c>
      <c r="B192" t="s">
        <v>883</v>
      </c>
      <c r="C192">
        <v>11625</v>
      </c>
      <c r="D192">
        <v>2.4831927500000002</v>
      </c>
      <c r="E192">
        <v>2.2129293672550399E-3</v>
      </c>
      <c r="F192" t="s">
        <v>884</v>
      </c>
    </row>
    <row r="193" spans="1:6" x14ac:dyDescent="0.3">
      <c r="A193" t="s">
        <v>885</v>
      </c>
      <c r="B193" t="s">
        <v>886</v>
      </c>
      <c r="C193">
        <v>16859</v>
      </c>
      <c r="D193">
        <v>2.4800735</v>
      </c>
      <c r="E193" s="1" t="s">
        <v>643</v>
      </c>
      <c r="F193" t="s">
        <v>887</v>
      </c>
    </row>
    <row r="194" spans="1:6" x14ac:dyDescent="0.3">
      <c r="A194" t="s">
        <v>64</v>
      </c>
      <c r="B194" t="s">
        <v>63</v>
      </c>
      <c r="C194">
        <v>21926</v>
      </c>
      <c r="D194">
        <v>2.47834616666667</v>
      </c>
      <c r="E194" s="1" t="s">
        <v>720</v>
      </c>
      <c r="F194" t="s">
        <v>888</v>
      </c>
    </row>
    <row r="195" spans="1:6" x14ac:dyDescent="0.3">
      <c r="A195" t="s">
        <v>889</v>
      </c>
      <c r="B195" t="s">
        <v>890</v>
      </c>
      <c r="C195">
        <v>69217</v>
      </c>
      <c r="D195">
        <v>2.47611433333334</v>
      </c>
      <c r="E195" s="1" t="s">
        <v>891</v>
      </c>
      <c r="F195" t="s">
        <v>892</v>
      </c>
    </row>
    <row r="196" spans="1:6" x14ac:dyDescent="0.3">
      <c r="A196" t="s">
        <v>893</v>
      </c>
      <c r="B196" t="s">
        <v>894</v>
      </c>
      <c r="C196">
        <v>16541</v>
      </c>
      <c r="D196">
        <v>2.4738935</v>
      </c>
      <c r="E196" s="1" t="s">
        <v>895</v>
      </c>
      <c r="F196" t="s">
        <v>896</v>
      </c>
    </row>
    <row r="197" spans="1:6" x14ac:dyDescent="0.3">
      <c r="A197" t="s">
        <v>897</v>
      </c>
      <c r="B197" t="s">
        <v>898</v>
      </c>
      <c r="C197">
        <v>214855</v>
      </c>
      <c r="D197">
        <v>2.4735769166666701</v>
      </c>
      <c r="E197" s="1" t="s">
        <v>899</v>
      </c>
      <c r="F197" t="s">
        <v>900</v>
      </c>
    </row>
    <row r="198" spans="1:6" x14ac:dyDescent="0.3">
      <c r="A198" t="s">
        <v>901</v>
      </c>
      <c r="B198" t="s">
        <v>902</v>
      </c>
      <c r="C198">
        <v>243655</v>
      </c>
      <c r="D198">
        <v>2.4735765833333301</v>
      </c>
      <c r="E198" s="1" t="s">
        <v>903</v>
      </c>
      <c r="F198" t="s">
        <v>904</v>
      </c>
    </row>
    <row r="199" spans="1:6" x14ac:dyDescent="0.3">
      <c r="A199" t="s">
        <v>905</v>
      </c>
      <c r="B199" t="s">
        <v>906</v>
      </c>
      <c r="C199">
        <v>71607</v>
      </c>
      <c r="D199">
        <v>2.4710507499999999</v>
      </c>
      <c r="E199" s="1" t="s">
        <v>840</v>
      </c>
      <c r="F199" t="s">
        <v>907</v>
      </c>
    </row>
    <row r="200" spans="1:6" x14ac:dyDescent="0.3">
      <c r="A200" t="s">
        <v>908</v>
      </c>
      <c r="B200" t="s">
        <v>909</v>
      </c>
      <c r="C200">
        <v>20491</v>
      </c>
      <c r="D200">
        <v>2.4656155000000002</v>
      </c>
      <c r="E200" s="1" t="s">
        <v>910</v>
      </c>
      <c r="F200" t="s">
        <v>911</v>
      </c>
    </row>
    <row r="201" spans="1:6" x14ac:dyDescent="0.3">
      <c r="A201" t="s">
        <v>912</v>
      </c>
      <c r="B201" t="s">
        <v>913</v>
      </c>
      <c r="C201">
        <v>574428</v>
      </c>
      <c r="D201">
        <v>2.45972216666667</v>
      </c>
      <c r="E201" s="1" t="s">
        <v>914</v>
      </c>
      <c r="F201" t="s">
        <v>915</v>
      </c>
    </row>
    <row r="202" spans="1:6" x14ac:dyDescent="0.3">
      <c r="A202" t="s">
        <v>916</v>
      </c>
      <c r="B202" t="s">
        <v>917</v>
      </c>
      <c r="C202">
        <v>18037</v>
      </c>
      <c r="D202">
        <v>2.4528492499999999</v>
      </c>
      <c r="E202" s="1" t="s">
        <v>918</v>
      </c>
      <c r="F202" t="s">
        <v>919</v>
      </c>
    </row>
    <row r="203" spans="1:6" x14ac:dyDescent="0.3">
      <c r="A203" t="s">
        <v>920</v>
      </c>
      <c r="B203" t="s">
        <v>921</v>
      </c>
      <c r="C203">
        <v>100535</v>
      </c>
      <c r="D203">
        <v>2.4431931666666702</v>
      </c>
      <c r="E203" s="1" t="s">
        <v>922</v>
      </c>
      <c r="F203" t="s">
        <v>923</v>
      </c>
    </row>
    <row r="204" spans="1:6" x14ac:dyDescent="0.3">
      <c r="A204" t="s">
        <v>924</v>
      </c>
      <c r="B204" t="s">
        <v>925</v>
      </c>
      <c r="C204">
        <v>108670</v>
      </c>
      <c r="D204">
        <v>2.43065941666667</v>
      </c>
      <c r="E204" s="1" t="s">
        <v>926</v>
      </c>
      <c r="F204" t="s">
        <v>927</v>
      </c>
    </row>
    <row r="205" spans="1:6" x14ac:dyDescent="0.3">
      <c r="A205" t="s">
        <v>928</v>
      </c>
      <c r="B205" t="s">
        <v>929</v>
      </c>
      <c r="C205">
        <v>18414</v>
      </c>
      <c r="D205">
        <v>2.41693625</v>
      </c>
      <c r="E205" s="1" t="s">
        <v>643</v>
      </c>
      <c r="F205" t="s">
        <v>930</v>
      </c>
    </row>
    <row r="206" spans="1:6" x14ac:dyDescent="0.3">
      <c r="A206" t="s">
        <v>931</v>
      </c>
      <c r="B206" t="s">
        <v>932</v>
      </c>
      <c r="C206">
        <v>23833</v>
      </c>
      <c r="D206">
        <v>2.4016135833333299</v>
      </c>
      <c r="E206" s="1" t="s">
        <v>933</v>
      </c>
      <c r="F206" t="s">
        <v>934</v>
      </c>
    </row>
    <row r="207" spans="1:6" x14ac:dyDescent="0.3">
      <c r="A207" t="s">
        <v>935</v>
      </c>
      <c r="B207" t="s">
        <v>936</v>
      </c>
      <c r="C207">
        <v>69852</v>
      </c>
      <c r="D207">
        <v>2.4012574166666698</v>
      </c>
      <c r="E207" s="1" t="s">
        <v>937</v>
      </c>
      <c r="F207" t="s">
        <v>938</v>
      </c>
    </row>
    <row r="208" spans="1:6" x14ac:dyDescent="0.3">
      <c r="A208" t="s">
        <v>939</v>
      </c>
      <c r="B208" t="s">
        <v>940</v>
      </c>
      <c r="C208">
        <v>80859</v>
      </c>
      <c r="D208">
        <v>2.3983858333333301</v>
      </c>
      <c r="E208" s="1" t="s">
        <v>941</v>
      </c>
      <c r="F208" t="s">
        <v>942</v>
      </c>
    </row>
    <row r="209" spans="1:6" x14ac:dyDescent="0.3">
      <c r="A209" t="s">
        <v>943</v>
      </c>
      <c r="B209" t="s">
        <v>944</v>
      </c>
      <c r="C209">
        <v>227929</v>
      </c>
      <c r="D209">
        <v>2.3878255833333299</v>
      </c>
      <c r="E209" s="1" t="s">
        <v>945</v>
      </c>
      <c r="F209" t="s">
        <v>946</v>
      </c>
    </row>
    <row r="210" spans="1:6" x14ac:dyDescent="0.3">
      <c r="A210" t="s">
        <v>947</v>
      </c>
      <c r="B210" t="s">
        <v>948</v>
      </c>
      <c r="C210">
        <v>16181</v>
      </c>
      <c r="D210">
        <v>2.38528741666667</v>
      </c>
      <c r="E210" s="1" t="s">
        <v>949</v>
      </c>
      <c r="F210" t="s">
        <v>950</v>
      </c>
    </row>
    <row r="211" spans="1:6" x14ac:dyDescent="0.3">
      <c r="A211" t="s">
        <v>951</v>
      </c>
      <c r="B211" t="s">
        <v>952</v>
      </c>
      <c r="C211">
        <v>13448</v>
      </c>
      <c r="D211">
        <v>2.3812354999999998</v>
      </c>
      <c r="E211" s="1" t="s">
        <v>953</v>
      </c>
      <c r="F211" t="s">
        <v>954</v>
      </c>
    </row>
    <row r="212" spans="1:6" x14ac:dyDescent="0.3">
      <c r="A212" t="s">
        <v>955</v>
      </c>
      <c r="B212" t="s">
        <v>956</v>
      </c>
      <c r="C212">
        <v>16635</v>
      </c>
      <c r="D212">
        <v>2.3793250000000001</v>
      </c>
      <c r="E212">
        <v>1.8583955331880999E-4</v>
      </c>
      <c r="F212" t="s">
        <v>957</v>
      </c>
    </row>
    <row r="213" spans="1:6" x14ac:dyDescent="0.3">
      <c r="A213" t="s">
        <v>958</v>
      </c>
      <c r="B213" t="s">
        <v>959</v>
      </c>
      <c r="C213">
        <v>19260</v>
      </c>
      <c r="D213">
        <v>2.3770605833333298</v>
      </c>
      <c r="E213" s="1" t="s">
        <v>960</v>
      </c>
      <c r="F213" t="s">
        <v>961</v>
      </c>
    </row>
    <row r="214" spans="1:6" x14ac:dyDescent="0.3">
      <c r="A214" t="s">
        <v>962</v>
      </c>
      <c r="B214" t="s">
        <v>963</v>
      </c>
      <c r="C214">
        <v>66412</v>
      </c>
      <c r="D214">
        <v>2.36974675</v>
      </c>
      <c r="E214" s="1" t="s">
        <v>964</v>
      </c>
      <c r="F214" t="s">
        <v>965</v>
      </c>
    </row>
    <row r="215" spans="1:6" x14ac:dyDescent="0.3">
      <c r="A215" t="s">
        <v>966</v>
      </c>
      <c r="B215" t="s">
        <v>967</v>
      </c>
      <c r="C215">
        <v>73167</v>
      </c>
      <c r="D215">
        <v>2.3696046666666701</v>
      </c>
      <c r="E215" s="1" t="s">
        <v>968</v>
      </c>
      <c r="F215" t="s">
        <v>969</v>
      </c>
    </row>
    <row r="216" spans="1:6" x14ac:dyDescent="0.3">
      <c r="A216" t="s">
        <v>970</v>
      </c>
      <c r="B216" t="s">
        <v>971</v>
      </c>
      <c r="C216">
        <v>53608</v>
      </c>
      <c r="D216">
        <v>2.3630854999999999</v>
      </c>
      <c r="E216" s="1" t="s">
        <v>972</v>
      </c>
      <c r="F216" t="s">
        <v>973</v>
      </c>
    </row>
    <row r="217" spans="1:6" x14ac:dyDescent="0.3">
      <c r="A217" t="s">
        <v>974</v>
      </c>
      <c r="B217" t="s">
        <v>975</v>
      </c>
      <c r="C217">
        <v>14964</v>
      </c>
      <c r="D217">
        <v>2.3586575000000001</v>
      </c>
      <c r="E217" s="1" t="s">
        <v>236</v>
      </c>
      <c r="F217" t="s">
        <v>976</v>
      </c>
    </row>
    <row r="218" spans="1:6" x14ac:dyDescent="0.3">
      <c r="A218" t="s">
        <v>977</v>
      </c>
      <c r="B218" t="s">
        <v>978</v>
      </c>
      <c r="C218">
        <v>27056</v>
      </c>
      <c r="D218">
        <v>2.3486141666666698</v>
      </c>
      <c r="E218" s="1" t="s">
        <v>979</v>
      </c>
      <c r="F218" t="s">
        <v>980</v>
      </c>
    </row>
    <row r="219" spans="1:6" x14ac:dyDescent="0.3">
      <c r="A219" t="s">
        <v>981</v>
      </c>
      <c r="B219" t="s">
        <v>982</v>
      </c>
      <c r="C219">
        <v>109225</v>
      </c>
      <c r="D219">
        <v>2.3395870833333299</v>
      </c>
      <c r="E219" s="1" t="s">
        <v>983</v>
      </c>
      <c r="F219" t="s">
        <v>984</v>
      </c>
    </row>
    <row r="220" spans="1:6" x14ac:dyDescent="0.3">
      <c r="A220" t="s">
        <v>985</v>
      </c>
      <c r="B220" t="s">
        <v>986</v>
      </c>
      <c r="C220">
        <v>17079</v>
      </c>
      <c r="D220">
        <v>2.3339829999999999</v>
      </c>
      <c r="E220" s="1" t="s">
        <v>987</v>
      </c>
      <c r="F220" t="s">
        <v>988</v>
      </c>
    </row>
    <row r="221" spans="1:6" x14ac:dyDescent="0.3">
      <c r="A221" t="s">
        <v>989</v>
      </c>
      <c r="B221" t="s">
        <v>990</v>
      </c>
      <c r="C221">
        <v>16426</v>
      </c>
      <c r="D221">
        <v>2.332487</v>
      </c>
      <c r="E221">
        <v>1.29664174472174E-4</v>
      </c>
      <c r="F221" t="s">
        <v>991</v>
      </c>
    </row>
    <row r="222" spans="1:6" x14ac:dyDescent="0.3">
      <c r="A222" t="s">
        <v>992</v>
      </c>
      <c r="B222" t="s">
        <v>993</v>
      </c>
      <c r="C222">
        <v>246730</v>
      </c>
      <c r="D222">
        <v>2.33189291666667</v>
      </c>
      <c r="E222" s="1" t="s">
        <v>994</v>
      </c>
      <c r="F222" t="s">
        <v>995</v>
      </c>
    </row>
    <row r="223" spans="1:6" x14ac:dyDescent="0.3">
      <c r="A223" t="s">
        <v>996</v>
      </c>
      <c r="B223" t="s">
        <v>997</v>
      </c>
      <c r="C223">
        <v>223920</v>
      </c>
      <c r="D223">
        <v>2.3280915833333302</v>
      </c>
      <c r="E223" s="1" t="s">
        <v>998</v>
      </c>
      <c r="F223" t="s">
        <v>999</v>
      </c>
    </row>
    <row r="224" spans="1:6" x14ac:dyDescent="0.3">
      <c r="A224" t="s">
        <v>1000</v>
      </c>
      <c r="B224" t="s">
        <v>1000</v>
      </c>
      <c r="C224" t="s">
        <v>239</v>
      </c>
      <c r="D224">
        <v>2.3117480000000001</v>
      </c>
      <c r="E224" s="1" t="s">
        <v>1001</v>
      </c>
      <c r="F224" t="s">
        <v>1002</v>
      </c>
    </row>
    <row r="225" spans="1:6" x14ac:dyDescent="0.3">
      <c r="A225" t="s">
        <v>1003</v>
      </c>
      <c r="B225" t="s">
        <v>1004</v>
      </c>
      <c r="C225">
        <v>14991</v>
      </c>
      <c r="D225">
        <v>2.3098464999999999</v>
      </c>
      <c r="E225" s="1" t="s">
        <v>1005</v>
      </c>
      <c r="F225" t="s">
        <v>1006</v>
      </c>
    </row>
    <row r="226" spans="1:6" x14ac:dyDescent="0.3">
      <c r="A226" t="s">
        <v>1007</v>
      </c>
      <c r="B226" t="s">
        <v>1008</v>
      </c>
      <c r="C226">
        <v>56193</v>
      </c>
      <c r="D226">
        <v>2.3074802499999998</v>
      </c>
      <c r="E226" s="1" t="s">
        <v>1009</v>
      </c>
      <c r="F226" t="s">
        <v>1010</v>
      </c>
    </row>
    <row r="227" spans="1:6" x14ac:dyDescent="0.3">
      <c r="A227" t="s">
        <v>1011</v>
      </c>
      <c r="B227" t="s">
        <v>1012</v>
      </c>
      <c r="C227">
        <v>15483</v>
      </c>
      <c r="D227">
        <v>2.3067154166666701</v>
      </c>
      <c r="E227" s="1" t="s">
        <v>1013</v>
      </c>
      <c r="F227" t="s">
        <v>1014</v>
      </c>
    </row>
    <row r="228" spans="1:6" x14ac:dyDescent="0.3">
      <c r="A228" t="s">
        <v>1015</v>
      </c>
      <c r="B228" t="s">
        <v>1016</v>
      </c>
      <c r="C228">
        <v>15951</v>
      </c>
      <c r="D228">
        <v>2.29783741666667</v>
      </c>
      <c r="E228">
        <v>1.2883729649652701E-4</v>
      </c>
      <c r="F228" t="s">
        <v>1017</v>
      </c>
    </row>
    <row r="229" spans="1:6" x14ac:dyDescent="0.3">
      <c r="A229" t="s">
        <v>1018</v>
      </c>
      <c r="B229" t="s">
        <v>1019</v>
      </c>
      <c r="C229">
        <v>243771</v>
      </c>
      <c r="D229">
        <v>2.2815348333333301</v>
      </c>
      <c r="E229" s="1" t="s">
        <v>1020</v>
      </c>
      <c r="F229" t="s">
        <v>1021</v>
      </c>
    </row>
    <row r="230" spans="1:6" x14ac:dyDescent="0.3">
      <c r="A230" t="s">
        <v>1022</v>
      </c>
      <c r="B230" t="s">
        <v>1023</v>
      </c>
      <c r="C230">
        <v>72310</v>
      </c>
      <c r="D230">
        <v>2.2759014999999998</v>
      </c>
      <c r="E230">
        <v>9.5687059399477998E-4</v>
      </c>
      <c r="F230" t="s">
        <v>1024</v>
      </c>
    </row>
    <row r="231" spans="1:6" x14ac:dyDescent="0.3">
      <c r="A231" t="s">
        <v>1025</v>
      </c>
      <c r="B231" t="s">
        <v>1026</v>
      </c>
      <c r="C231">
        <v>15930</v>
      </c>
      <c r="D231">
        <v>2.2725287500000002</v>
      </c>
      <c r="E231" s="1" t="s">
        <v>1027</v>
      </c>
      <c r="F231" t="s">
        <v>1028</v>
      </c>
    </row>
    <row r="232" spans="1:6" x14ac:dyDescent="0.3">
      <c r="A232" t="s">
        <v>1029</v>
      </c>
      <c r="B232" t="s">
        <v>1030</v>
      </c>
      <c r="C232">
        <v>56045</v>
      </c>
      <c r="D232">
        <v>2.2710038333333298</v>
      </c>
      <c r="E232" s="1" t="s">
        <v>1031</v>
      </c>
      <c r="F232" t="s">
        <v>1032</v>
      </c>
    </row>
    <row r="233" spans="1:6" x14ac:dyDescent="0.3">
      <c r="A233" t="s">
        <v>1033</v>
      </c>
      <c r="B233" t="s">
        <v>1034</v>
      </c>
      <c r="C233">
        <v>20846</v>
      </c>
      <c r="D233">
        <v>2.2690397500000001</v>
      </c>
      <c r="E233" s="1" t="s">
        <v>1035</v>
      </c>
      <c r="F233" t="s">
        <v>1036</v>
      </c>
    </row>
    <row r="234" spans="1:6" x14ac:dyDescent="0.3">
      <c r="A234" t="s">
        <v>1037</v>
      </c>
      <c r="B234" t="s">
        <v>1038</v>
      </c>
      <c r="C234">
        <v>230787</v>
      </c>
      <c r="D234">
        <v>2.2619669166666698</v>
      </c>
      <c r="E234" s="1" t="s">
        <v>1039</v>
      </c>
      <c r="F234" t="s">
        <v>1040</v>
      </c>
    </row>
    <row r="235" spans="1:6" x14ac:dyDescent="0.3">
      <c r="A235" t="s">
        <v>1041</v>
      </c>
      <c r="B235" t="s">
        <v>1042</v>
      </c>
      <c r="C235">
        <v>21983</v>
      </c>
      <c r="D235">
        <v>2.26146133333333</v>
      </c>
      <c r="E235">
        <v>1.2316443651606799E-4</v>
      </c>
      <c r="F235" t="s">
        <v>1043</v>
      </c>
    </row>
    <row r="236" spans="1:6" x14ac:dyDescent="0.3">
      <c r="A236" t="s">
        <v>1044</v>
      </c>
      <c r="B236" t="s">
        <v>1045</v>
      </c>
      <c r="C236">
        <v>16803</v>
      </c>
      <c r="D236">
        <v>2.2525564999999999</v>
      </c>
      <c r="E236" s="1" t="s">
        <v>1046</v>
      </c>
      <c r="F236" t="s">
        <v>1047</v>
      </c>
    </row>
    <row r="237" spans="1:6" x14ac:dyDescent="0.3">
      <c r="A237" t="s">
        <v>1048</v>
      </c>
      <c r="B237" t="s">
        <v>1049</v>
      </c>
      <c r="C237">
        <v>78317</v>
      </c>
      <c r="D237">
        <v>2.2514755000000002</v>
      </c>
      <c r="E237" s="1" t="s">
        <v>1050</v>
      </c>
      <c r="F237" t="s">
        <v>1051</v>
      </c>
    </row>
    <row r="238" spans="1:6" x14ac:dyDescent="0.3">
      <c r="A238" t="s">
        <v>1052</v>
      </c>
      <c r="B238" t="s">
        <v>1053</v>
      </c>
      <c r="C238">
        <v>69065</v>
      </c>
      <c r="D238">
        <v>2.2336858333333298</v>
      </c>
      <c r="E238" s="1" t="s">
        <v>1054</v>
      </c>
      <c r="F238" t="s">
        <v>1055</v>
      </c>
    </row>
    <row r="239" spans="1:6" x14ac:dyDescent="0.3">
      <c r="A239" t="s">
        <v>1056</v>
      </c>
      <c r="B239" t="s">
        <v>1056</v>
      </c>
      <c r="C239" t="s">
        <v>239</v>
      </c>
      <c r="D239">
        <v>2.2287653333333299</v>
      </c>
      <c r="E239">
        <v>2.3328646437479799E-3</v>
      </c>
      <c r="F239" t="s">
        <v>239</v>
      </c>
    </row>
    <row r="240" spans="1:6" x14ac:dyDescent="0.3">
      <c r="A240" t="s">
        <v>1057</v>
      </c>
      <c r="B240" t="s">
        <v>1058</v>
      </c>
      <c r="C240">
        <v>16176</v>
      </c>
      <c r="D240">
        <v>2.2225330833333299</v>
      </c>
      <c r="E240" s="1" t="s">
        <v>1059</v>
      </c>
      <c r="F240" t="s">
        <v>1060</v>
      </c>
    </row>
    <row r="241" spans="1:6" x14ac:dyDescent="0.3">
      <c r="A241" t="s">
        <v>1061</v>
      </c>
      <c r="B241" t="s">
        <v>1062</v>
      </c>
      <c r="C241">
        <v>16988</v>
      </c>
      <c r="D241">
        <v>2.2222075833333399</v>
      </c>
      <c r="E241" s="1" t="s">
        <v>1063</v>
      </c>
      <c r="F241" t="s">
        <v>1064</v>
      </c>
    </row>
    <row r="242" spans="1:6" x14ac:dyDescent="0.3">
      <c r="A242" t="s">
        <v>1065</v>
      </c>
      <c r="B242" t="s">
        <v>1066</v>
      </c>
      <c r="C242">
        <v>13349</v>
      </c>
      <c r="D242">
        <v>2.2181229999999998</v>
      </c>
      <c r="E242" s="1" t="s">
        <v>1067</v>
      </c>
      <c r="F242" t="s">
        <v>1068</v>
      </c>
    </row>
    <row r="243" spans="1:6" x14ac:dyDescent="0.3">
      <c r="A243" t="s">
        <v>1069</v>
      </c>
      <c r="B243" t="s">
        <v>1070</v>
      </c>
      <c r="C243">
        <v>17085</v>
      </c>
      <c r="D243">
        <v>2.1840985833333302</v>
      </c>
      <c r="E243" s="1" t="s">
        <v>1071</v>
      </c>
      <c r="F243" t="s">
        <v>1072</v>
      </c>
    </row>
    <row r="244" spans="1:6" x14ac:dyDescent="0.3">
      <c r="A244" t="s">
        <v>1073</v>
      </c>
      <c r="B244" t="s">
        <v>1074</v>
      </c>
      <c r="C244">
        <v>23882</v>
      </c>
      <c r="D244">
        <v>2.17395</v>
      </c>
      <c r="E244" s="1" t="s">
        <v>1075</v>
      </c>
      <c r="F244" t="s">
        <v>1076</v>
      </c>
    </row>
    <row r="245" spans="1:6" x14ac:dyDescent="0.3">
      <c r="A245" t="s">
        <v>1077</v>
      </c>
      <c r="B245" t="s">
        <v>1078</v>
      </c>
      <c r="C245">
        <v>110168</v>
      </c>
      <c r="D245">
        <v>2.1732065</v>
      </c>
      <c r="E245" s="1" t="s">
        <v>1079</v>
      </c>
      <c r="F245" t="s">
        <v>1080</v>
      </c>
    </row>
    <row r="246" spans="1:6" x14ac:dyDescent="0.3">
      <c r="A246" t="s">
        <v>1081</v>
      </c>
      <c r="B246" t="s">
        <v>1082</v>
      </c>
      <c r="C246">
        <v>20732</v>
      </c>
      <c r="D246">
        <v>2.1706660833333302</v>
      </c>
      <c r="E246">
        <v>3.7856191043107298E-3</v>
      </c>
      <c r="F246" t="s">
        <v>1083</v>
      </c>
    </row>
    <row r="247" spans="1:6" x14ac:dyDescent="0.3">
      <c r="A247" t="s">
        <v>1084</v>
      </c>
      <c r="B247" t="s">
        <v>1085</v>
      </c>
      <c r="C247">
        <v>22040</v>
      </c>
      <c r="D247">
        <v>2.1679355</v>
      </c>
      <c r="E247" s="1" t="s">
        <v>1086</v>
      </c>
      <c r="F247" t="s">
        <v>1087</v>
      </c>
    </row>
    <row r="248" spans="1:6" x14ac:dyDescent="0.3">
      <c r="A248" t="s">
        <v>1088</v>
      </c>
      <c r="B248" t="s">
        <v>1089</v>
      </c>
      <c r="C248">
        <v>114643</v>
      </c>
      <c r="D248">
        <v>2.16277241666667</v>
      </c>
      <c r="E248" s="1" t="s">
        <v>1090</v>
      </c>
      <c r="F248" t="s">
        <v>1091</v>
      </c>
    </row>
    <row r="249" spans="1:6" x14ac:dyDescent="0.3">
      <c r="A249" t="s">
        <v>1092</v>
      </c>
      <c r="B249" t="s">
        <v>1093</v>
      </c>
      <c r="C249">
        <v>16633</v>
      </c>
      <c r="D249">
        <v>2.1624029166666698</v>
      </c>
      <c r="E249" s="1" t="s">
        <v>1094</v>
      </c>
      <c r="F249" t="s">
        <v>1095</v>
      </c>
    </row>
    <row r="250" spans="1:6" x14ac:dyDescent="0.3">
      <c r="A250" t="s">
        <v>1096</v>
      </c>
      <c r="B250" t="s">
        <v>1097</v>
      </c>
      <c r="C250">
        <v>17254</v>
      </c>
      <c r="D250">
        <v>2.1597914166666698</v>
      </c>
      <c r="E250" s="1" t="s">
        <v>1098</v>
      </c>
      <c r="F250" t="s">
        <v>1099</v>
      </c>
    </row>
    <row r="251" spans="1:6" x14ac:dyDescent="0.3">
      <c r="A251" t="s">
        <v>1100</v>
      </c>
      <c r="B251" t="s">
        <v>1101</v>
      </c>
      <c r="C251">
        <v>16643</v>
      </c>
      <c r="D251">
        <v>2.1583770000000002</v>
      </c>
      <c r="E251">
        <v>7.5628180990219103E-4</v>
      </c>
      <c r="F251" t="s">
        <v>1102</v>
      </c>
    </row>
    <row r="252" spans="1:6" x14ac:dyDescent="0.3">
      <c r="A252" t="s">
        <v>48</v>
      </c>
      <c r="B252" t="s">
        <v>47</v>
      </c>
      <c r="C252">
        <v>20308</v>
      </c>
      <c r="D252">
        <v>2.1538789166666699</v>
      </c>
      <c r="E252" s="1" t="s">
        <v>1103</v>
      </c>
      <c r="F252" t="s">
        <v>1104</v>
      </c>
    </row>
    <row r="253" spans="1:6" x14ac:dyDescent="0.3">
      <c r="A253" t="s">
        <v>1105</v>
      </c>
      <c r="B253" t="s">
        <v>1106</v>
      </c>
      <c r="C253">
        <v>69784</v>
      </c>
      <c r="D253">
        <v>2.15362766666667</v>
      </c>
      <c r="E253" s="1" t="s">
        <v>1107</v>
      </c>
      <c r="F253" t="s">
        <v>1108</v>
      </c>
    </row>
    <row r="254" spans="1:6" x14ac:dyDescent="0.3">
      <c r="A254" t="s">
        <v>120</v>
      </c>
      <c r="B254" t="s">
        <v>119</v>
      </c>
      <c r="C254">
        <v>16154</v>
      </c>
      <c r="D254">
        <v>2.1447575833333299</v>
      </c>
      <c r="E254">
        <v>1.3552651990125401E-4</v>
      </c>
      <c r="F254" t="s">
        <v>1109</v>
      </c>
    </row>
    <row r="255" spans="1:6" x14ac:dyDescent="0.3">
      <c r="A255" t="s">
        <v>1110</v>
      </c>
      <c r="B255" t="s">
        <v>1111</v>
      </c>
      <c r="C255">
        <v>432555</v>
      </c>
      <c r="D255">
        <v>2.1425200000000002</v>
      </c>
      <c r="E255" s="1" t="s">
        <v>1112</v>
      </c>
      <c r="F255" t="s">
        <v>1113</v>
      </c>
    </row>
    <row r="256" spans="1:6" x14ac:dyDescent="0.3">
      <c r="A256" t="s">
        <v>1114</v>
      </c>
      <c r="B256" t="s">
        <v>1115</v>
      </c>
      <c r="C256">
        <v>209200</v>
      </c>
      <c r="D256">
        <v>2.1400334999999999</v>
      </c>
      <c r="E256" s="1" t="s">
        <v>1116</v>
      </c>
      <c r="F256" t="s">
        <v>1117</v>
      </c>
    </row>
    <row r="257" spans="1:6" x14ac:dyDescent="0.3">
      <c r="A257" t="s">
        <v>1118</v>
      </c>
      <c r="B257" t="s">
        <v>1119</v>
      </c>
      <c r="C257">
        <v>27371</v>
      </c>
      <c r="D257">
        <v>2.1361124999999999</v>
      </c>
      <c r="E257" s="1" t="s">
        <v>1120</v>
      </c>
      <c r="F257" t="s">
        <v>1121</v>
      </c>
    </row>
    <row r="258" spans="1:6" x14ac:dyDescent="0.3">
      <c r="A258" t="s">
        <v>1122</v>
      </c>
      <c r="B258" t="s">
        <v>1123</v>
      </c>
      <c r="C258">
        <v>68713</v>
      </c>
      <c r="D258">
        <v>2.13479333333333</v>
      </c>
      <c r="E258" s="1" t="s">
        <v>1124</v>
      </c>
      <c r="F258" t="s">
        <v>1125</v>
      </c>
    </row>
    <row r="259" spans="1:6" x14ac:dyDescent="0.3">
      <c r="A259" t="s">
        <v>1126</v>
      </c>
      <c r="B259" t="s">
        <v>1127</v>
      </c>
      <c r="C259">
        <v>56642</v>
      </c>
      <c r="D259">
        <v>2.1325196666666701</v>
      </c>
      <c r="E259">
        <v>3.6105302451207798E-3</v>
      </c>
      <c r="F259" t="s">
        <v>1128</v>
      </c>
    </row>
    <row r="260" spans="1:6" x14ac:dyDescent="0.3">
      <c r="A260" t="s">
        <v>1129</v>
      </c>
      <c r="B260" t="s">
        <v>1130</v>
      </c>
      <c r="C260">
        <v>52668</v>
      </c>
      <c r="D260">
        <v>2.1315900000000001</v>
      </c>
      <c r="E260" s="1" t="s">
        <v>1131</v>
      </c>
      <c r="F260" t="s">
        <v>1132</v>
      </c>
    </row>
    <row r="261" spans="1:6" x14ac:dyDescent="0.3">
      <c r="A261" t="s">
        <v>1133</v>
      </c>
      <c r="B261" t="s">
        <v>1134</v>
      </c>
      <c r="C261">
        <v>16421</v>
      </c>
      <c r="D261">
        <v>2.1302173333333401</v>
      </c>
      <c r="E261">
        <v>2.1879683972847599E-4</v>
      </c>
      <c r="F261" t="s">
        <v>1135</v>
      </c>
    </row>
    <row r="262" spans="1:6" x14ac:dyDescent="0.3">
      <c r="A262" t="s">
        <v>1136</v>
      </c>
      <c r="B262" t="s">
        <v>1137</v>
      </c>
      <c r="C262">
        <v>20821</v>
      </c>
      <c r="D262">
        <v>2.1288230000000001</v>
      </c>
      <c r="E262" s="1" t="s">
        <v>1138</v>
      </c>
      <c r="F262" t="s">
        <v>1139</v>
      </c>
    </row>
    <row r="263" spans="1:6" x14ac:dyDescent="0.3">
      <c r="A263" t="s">
        <v>1140</v>
      </c>
      <c r="B263" t="s">
        <v>1141</v>
      </c>
      <c r="C263">
        <v>12122</v>
      </c>
      <c r="D263">
        <v>2.1219989166666702</v>
      </c>
      <c r="E263" s="1" t="s">
        <v>1142</v>
      </c>
      <c r="F263" t="s">
        <v>1143</v>
      </c>
    </row>
    <row r="264" spans="1:6" x14ac:dyDescent="0.3">
      <c r="A264" t="s">
        <v>1144</v>
      </c>
      <c r="B264" t="s">
        <v>1145</v>
      </c>
      <c r="C264">
        <v>18413</v>
      </c>
      <c r="D264">
        <v>2.11584175</v>
      </c>
      <c r="E264" s="1" t="s">
        <v>1146</v>
      </c>
      <c r="F264" t="s">
        <v>1147</v>
      </c>
    </row>
    <row r="265" spans="1:6" x14ac:dyDescent="0.3">
      <c r="A265" t="s">
        <v>1148</v>
      </c>
      <c r="B265" t="s">
        <v>1149</v>
      </c>
      <c r="C265">
        <v>12508</v>
      </c>
      <c r="D265">
        <v>2.1147458333333402</v>
      </c>
      <c r="E265" s="1" t="s">
        <v>1150</v>
      </c>
      <c r="F265" t="s">
        <v>1151</v>
      </c>
    </row>
    <row r="266" spans="1:6" x14ac:dyDescent="0.3">
      <c r="A266" t="s">
        <v>1152</v>
      </c>
      <c r="B266" t="s">
        <v>1153</v>
      </c>
      <c r="C266">
        <v>14421</v>
      </c>
      <c r="D266">
        <v>2.1127968333333298</v>
      </c>
      <c r="E266" s="1" t="s">
        <v>1154</v>
      </c>
      <c r="F266" t="s">
        <v>1155</v>
      </c>
    </row>
    <row r="267" spans="1:6" x14ac:dyDescent="0.3">
      <c r="A267" t="s">
        <v>1156</v>
      </c>
      <c r="B267" t="s">
        <v>1157</v>
      </c>
      <c r="C267">
        <v>246177</v>
      </c>
      <c r="D267">
        <v>2.1004469166666699</v>
      </c>
      <c r="E267">
        <v>9.9999244039273797E-3</v>
      </c>
      <c r="F267" t="s">
        <v>1158</v>
      </c>
    </row>
    <row r="268" spans="1:6" x14ac:dyDescent="0.3">
      <c r="A268" t="s">
        <v>138</v>
      </c>
      <c r="B268" t="s">
        <v>137</v>
      </c>
      <c r="C268">
        <v>16173</v>
      </c>
      <c r="D268">
        <v>2.09816641666667</v>
      </c>
      <c r="E268" s="1" t="s">
        <v>910</v>
      </c>
      <c r="F268" t="s">
        <v>1159</v>
      </c>
    </row>
    <row r="269" spans="1:6" x14ac:dyDescent="0.3">
      <c r="A269" t="s">
        <v>1160</v>
      </c>
      <c r="B269" t="s">
        <v>1161</v>
      </c>
      <c r="C269">
        <v>217203</v>
      </c>
      <c r="D269">
        <v>2.0969769166666699</v>
      </c>
      <c r="E269" s="1" t="s">
        <v>1162</v>
      </c>
      <c r="F269" t="s">
        <v>1163</v>
      </c>
    </row>
    <row r="270" spans="1:6" x14ac:dyDescent="0.3">
      <c r="A270" t="s">
        <v>1164</v>
      </c>
      <c r="B270" t="s">
        <v>1165</v>
      </c>
      <c r="C270">
        <v>12523</v>
      </c>
      <c r="D270">
        <v>2.0942803333333302</v>
      </c>
      <c r="E270" s="1" t="s">
        <v>1166</v>
      </c>
      <c r="F270" t="s">
        <v>1167</v>
      </c>
    </row>
    <row r="271" spans="1:6" x14ac:dyDescent="0.3">
      <c r="A271" t="s">
        <v>1168</v>
      </c>
      <c r="B271" t="s">
        <v>1169</v>
      </c>
      <c r="C271">
        <v>14282</v>
      </c>
      <c r="D271">
        <v>2.0938000833333299</v>
      </c>
      <c r="E271" s="1" t="s">
        <v>1170</v>
      </c>
      <c r="F271" t="s">
        <v>1171</v>
      </c>
    </row>
    <row r="272" spans="1:6" x14ac:dyDescent="0.3">
      <c r="A272" t="s">
        <v>1172</v>
      </c>
      <c r="B272" t="s">
        <v>1173</v>
      </c>
      <c r="C272">
        <v>67742</v>
      </c>
      <c r="D272">
        <v>2.0910135833333299</v>
      </c>
      <c r="E272">
        <v>3.2949385569743798E-2</v>
      </c>
      <c r="F272" t="s">
        <v>1174</v>
      </c>
    </row>
    <row r="273" spans="1:6" x14ac:dyDescent="0.3">
      <c r="A273" t="s">
        <v>1175</v>
      </c>
      <c r="B273" t="s">
        <v>1176</v>
      </c>
      <c r="C273">
        <v>24088</v>
      </c>
      <c r="D273">
        <v>2.0910091666666699</v>
      </c>
      <c r="E273" s="1" t="s">
        <v>1177</v>
      </c>
      <c r="F273" t="s">
        <v>1178</v>
      </c>
    </row>
    <row r="274" spans="1:6" x14ac:dyDescent="0.3">
      <c r="A274" t="s">
        <v>1179</v>
      </c>
      <c r="B274" t="s">
        <v>1180</v>
      </c>
      <c r="C274">
        <v>21897</v>
      </c>
      <c r="D274">
        <v>2.0878899166666698</v>
      </c>
      <c r="E274" s="1" t="s">
        <v>1181</v>
      </c>
      <c r="F274" t="s">
        <v>1182</v>
      </c>
    </row>
    <row r="275" spans="1:6" x14ac:dyDescent="0.3">
      <c r="A275" t="s">
        <v>1183</v>
      </c>
      <c r="B275" t="s">
        <v>1184</v>
      </c>
      <c r="C275" t="s">
        <v>239</v>
      </c>
      <c r="D275">
        <v>2.0873310833333298</v>
      </c>
      <c r="E275">
        <v>7.2759975073012698E-3</v>
      </c>
      <c r="F275" t="s">
        <v>1185</v>
      </c>
    </row>
    <row r="276" spans="1:6" x14ac:dyDescent="0.3">
      <c r="A276" t="s">
        <v>1186</v>
      </c>
      <c r="B276" t="s">
        <v>1187</v>
      </c>
      <c r="C276">
        <v>76408</v>
      </c>
      <c r="D276">
        <v>2.0678960833333302</v>
      </c>
      <c r="E276" s="1" t="s">
        <v>1188</v>
      </c>
      <c r="F276" t="s">
        <v>1189</v>
      </c>
    </row>
    <row r="277" spans="1:6" x14ac:dyDescent="0.3">
      <c r="A277" t="s">
        <v>1190</v>
      </c>
      <c r="B277" t="s">
        <v>1191</v>
      </c>
      <c r="C277">
        <v>14744</v>
      </c>
      <c r="D277">
        <v>2.0659589999999999</v>
      </c>
      <c r="E277" s="1" t="s">
        <v>1192</v>
      </c>
      <c r="F277" t="s">
        <v>1193</v>
      </c>
    </row>
    <row r="278" spans="1:6" x14ac:dyDescent="0.3">
      <c r="A278" t="s">
        <v>1194</v>
      </c>
      <c r="B278" t="s">
        <v>1195</v>
      </c>
      <c r="C278">
        <v>14281</v>
      </c>
      <c r="D278">
        <v>2.0650659166666698</v>
      </c>
      <c r="E278" s="1" t="s">
        <v>1196</v>
      </c>
      <c r="F278" t="s">
        <v>1197</v>
      </c>
    </row>
    <row r="279" spans="1:6" x14ac:dyDescent="0.3">
      <c r="A279" t="s">
        <v>92</v>
      </c>
      <c r="B279" t="s">
        <v>91</v>
      </c>
      <c r="C279">
        <v>21938</v>
      </c>
      <c r="D279">
        <v>2.0645383333333398</v>
      </c>
      <c r="E279" s="1" t="s">
        <v>1198</v>
      </c>
      <c r="F279" t="s">
        <v>1199</v>
      </c>
    </row>
    <row r="280" spans="1:6" x14ac:dyDescent="0.3">
      <c r="A280" t="s">
        <v>1200</v>
      </c>
      <c r="B280" t="s">
        <v>1201</v>
      </c>
      <c r="C280">
        <v>13003</v>
      </c>
      <c r="D280">
        <v>2.0586655</v>
      </c>
      <c r="E280" s="1" t="s">
        <v>910</v>
      </c>
      <c r="F280" t="s">
        <v>1202</v>
      </c>
    </row>
    <row r="281" spans="1:6" x14ac:dyDescent="0.3">
      <c r="A281" t="s">
        <v>1203</v>
      </c>
      <c r="B281" t="s">
        <v>1204</v>
      </c>
      <c r="C281">
        <v>76905</v>
      </c>
      <c r="D281">
        <v>2.0544058333333299</v>
      </c>
      <c r="E281" s="1" t="s">
        <v>1205</v>
      </c>
      <c r="F281" t="s">
        <v>1206</v>
      </c>
    </row>
    <row r="282" spans="1:6" x14ac:dyDescent="0.3">
      <c r="A282" t="s">
        <v>1207</v>
      </c>
      <c r="B282" t="s">
        <v>1208</v>
      </c>
      <c r="C282">
        <v>16477</v>
      </c>
      <c r="D282">
        <v>2.0536111666666699</v>
      </c>
      <c r="E282" s="1" t="s">
        <v>1209</v>
      </c>
      <c r="F282" t="s">
        <v>1210</v>
      </c>
    </row>
    <row r="283" spans="1:6" x14ac:dyDescent="0.3">
      <c r="A283" t="s">
        <v>1211</v>
      </c>
      <c r="B283" t="s">
        <v>1212</v>
      </c>
      <c r="C283">
        <v>15982</v>
      </c>
      <c r="D283">
        <v>2.052432</v>
      </c>
      <c r="E283" s="1" t="s">
        <v>1131</v>
      </c>
      <c r="F283" t="s">
        <v>1213</v>
      </c>
    </row>
    <row r="284" spans="1:6" x14ac:dyDescent="0.3">
      <c r="A284" t="s">
        <v>1214</v>
      </c>
      <c r="B284" t="s">
        <v>1215</v>
      </c>
      <c r="C284">
        <v>78416</v>
      </c>
      <c r="D284">
        <v>2.0396945</v>
      </c>
      <c r="E284">
        <v>2.8660936997689001E-3</v>
      </c>
      <c r="F284" t="s">
        <v>1216</v>
      </c>
    </row>
    <row r="285" spans="1:6" x14ac:dyDescent="0.3">
      <c r="A285" t="s">
        <v>1217</v>
      </c>
      <c r="B285" t="s">
        <v>1218</v>
      </c>
      <c r="C285">
        <v>12575</v>
      </c>
      <c r="D285">
        <v>2.0356921666666699</v>
      </c>
      <c r="E285" s="1" t="s">
        <v>1219</v>
      </c>
      <c r="F285" t="s">
        <v>1220</v>
      </c>
    </row>
    <row r="286" spans="1:6" x14ac:dyDescent="0.3">
      <c r="A286" t="s">
        <v>1221</v>
      </c>
      <c r="B286" t="s">
        <v>1222</v>
      </c>
      <c r="C286">
        <v>14857</v>
      </c>
      <c r="D286">
        <v>2.0199784166666701</v>
      </c>
      <c r="E286">
        <v>3.3199058437464603E-2</v>
      </c>
      <c r="F286" t="s">
        <v>1223</v>
      </c>
    </row>
    <row r="287" spans="1:6" x14ac:dyDescent="0.3">
      <c r="A287" t="s">
        <v>1224</v>
      </c>
      <c r="B287" t="s">
        <v>1225</v>
      </c>
      <c r="C287">
        <v>74051</v>
      </c>
      <c r="D287">
        <v>2.0156909166666699</v>
      </c>
      <c r="E287" s="1" t="s">
        <v>1226</v>
      </c>
      <c r="F287" t="s">
        <v>1227</v>
      </c>
    </row>
    <row r="288" spans="1:6" x14ac:dyDescent="0.3">
      <c r="A288" t="s">
        <v>1228</v>
      </c>
      <c r="B288" t="s">
        <v>1229</v>
      </c>
      <c r="C288">
        <v>16427</v>
      </c>
      <c r="D288">
        <v>2.01512783333333</v>
      </c>
      <c r="E288">
        <v>7.3976714118144805E-4</v>
      </c>
      <c r="F288" t="s">
        <v>1230</v>
      </c>
    </row>
    <row r="289" spans="1:6" x14ac:dyDescent="0.3">
      <c r="A289" t="s">
        <v>1231</v>
      </c>
      <c r="B289" t="s">
        <v>1232</v>
      </c>
      <c r="C289">
        <v>18654</v>
      </c>
      <c r="D289">
        <v>2.0098944166666701</v>
      </c>
      <c r="E289">
        <v>7.6809555713238699E-4</v>
      </c>
      <c r="F289" t="s">
        <v>1233</v>
      </c>
    </row>
    <row r="290" spans="1:6" x14ac:dyDescent="0.3">
      <c r="A290" t="s">
        <v>1234</v>
      </c>
      <c r="B290" t="s">
        <v>1235</v>
      </c>
      <c r="C290">
        <v>209027</v>
      </c>
      <c r="D290">
        <v>2.0084002500000002</v>
      </c>
      <c r="E290" s="1" t="s">
        <v>1236</v>
      </c>
      <c r="F290" t="s">
        <v>1237</v>
      </c>
    </row>
    <row r="291" spans="1:6" x14ac:dyDescent="0.3">
      <c r="A291" t="s">
        <v>1238</v>
      </c>
      <c r="B291" t="s">
        <v>1239</v>
      </c>
      <c r="C291">
        <v>56792</v>
      </c>
      <c r="D291">
        <v>2.00598891666667</v>
      </c>
      <c r="E291" s="1" t="s">
        <v>1240</v>
      </c>
      <c r="F291" t="s">
        <v>1241</v>
      </c>
    </row>
    <row r="292" spans="1:6" x14ac:dyDescent="0.3">
      <c r="A292" t="s">
        <v>1242</v>
      </c>
      <c r="B292" t="s">
        <v>1243</v>
      </c>
      <c r="C292">
        <v>20288</v>
      </c>
      <c r="D292">
        <v>1.9951751666666699</v>
      </c>
      <c r="E292">
        <v>6.9038955627117298E-3</v>
      </c>
      <c r="F292" t="s">
        <v>1244</v>
      </c>
    </row>
    <row r="293" spans="1:6" x14ac:dyDescent="0.3">
      <c r="A293" t="s">
        <v>1245</v>
      </c>
      <c r="B293" t="s">
        <v>1246</v>
      </c>
      <c r="C293">
        <v>18793</v>
      </c>
      <c r="D293">
        <v>1.99434975</v>
      </c>
      <c r="E293">
        <v>1.09047035173649E-3</v>
      </c>
      <c r="F293" t="s">
        <v>1247</v>
      </c>
    </row>
    <row r="294" spans="1:6" x14ac:dyDescent="0.3">
      <c r="A294" t="s">
        <v>1248</v>
      </c>
      <c r="B294" t="s">
        <v>1249</v>
      </c>
      <c r="C294">
        <v>80914</v>
      </c>
      <c r="D294">
        <v>1.9914624999999999</v>
      </c>
      <c r="E294" s="1" t="s">
        <v>1250</v>
      </c>
      <c r="F294" t="s">
        <v>1251</v>
      </c>
    </row>
    <row r="295" spans="1:6" x14ac:dyDescent="0.3">
      <c r="A295" t="s">
        <v>1252</v>
      </c>
      <c r="B295" t="s">
        <v>1253</v>
      </c>
      <c r="C295">
        <v>59083</v>
      </c>
      <c r="D295">
        <v>1.9893959999999999</v>
      </c>
      <c r="E295">
        <v>4.9166212275438704E-3</v>
      </c>
      <c r="F295" t="s">
        <v>1254</v>
      </c>
    </row>
    <row r="296" spans="1:6" x14ac:dyDescent="0.3">
      <c r="A296" t="s">
        <v>1255</v>
      </c>
      <c r="B296" t="s">
        <v>1256</v>
      </c>
      <c r="C296">
        <v>22329</v>
      </c>
      <c r="D296">
        <v>1.97356666666666</v>
      </c>
      <c r="E296" s="1" t="s">
        <v>1257</v>
      </c>
      <c r="F296" t="s">
        <v>1258</v>
      </c>
    </row>
    <row r="297" spans="1:6" x14ac:dyDescent="0.3">
      <c r="A297" t="s">
        <v>1259</v>
      </c>
      <c r="B297" t="s">
        <v>1260</v>
      </c>
      <c r="C297">
        <v>74732</v>
      </c>
      <c r="D297">
        <v>1.96950283333333</v>
      </c>
      <c r="E297">
        <v>8.6046602870330205E-4</v>
      </c>
      <c r="F297" t="s">
        <v>1261</v>
      </c>
    </row>
    <row r="298" spans="1:6" x14ac:dyDescent="0.3">
      <c r="A298" t="s">
        <v>1262</v>
      </c>
      <c r="B298" t="s">
        <v>1263</v>
      </c>
      <c r="C298">
        <v>194231</v>
      </c>
      <c r="D298">
        <v>1.9642740833333301</v>
      </c>
      <c r="E298" s="1" t="s">
        <v>1264</v>
      </c>
      <c r="F298" t="s">
        <v>1265</v>
      </c>
    </row>
    <row r="299" spans="1:6" x14ac:dyDescent="0.3">
      <c r="A299" t="s">
        <v>1266</v>
      </c>
      <c r="B299" t="s">
        <v>1267</v>
      </c>
      <c r="C299" t="s">
        <v>239</v>
      </c>
      <c r="D299">
        <v>1.9551895833333399</v>
      </c>
      <c r="E299" s="1" t="s">
        <v>1268</v>
      </c>
      <c r="F299" t="s">
        <v>1269</v>
      </c>
    </row>
    <row r="300" spans="1:6" x14ac:dyDescent="0.3">
      <c r="A300" t="s">
        <v>1270</v>
      </c>
      <c r="B300" t="s">
        <v>1271</v>
      </c>
      <c r="C300">
        <v>233744</v>
      </c>
      <c r="D300">
        <v>1.95403825</v>
      </c>
      <c r="E300" s="1" t="s">
        <v>1272</v>
      </c>
      <c r="F300" t="s">
        <v>1273</v>
      </c>
    </row>
    <row r="301" spans="1:6" x14ac:dyDescent="0.3">
      <c r="A301" t="s">
        <v>1274</v>
      </c>
      <c r="B301" t="s">
        <v>1275</v>
      </c>
      <c r="C301">
        <v>73656</v>
      </c>
      <c r="D301">
        <v>1.9536549166666699</v>
      </c>
      <c r="E301" s="1" t="s">
        <v>1276</v>
      </c>
      <c r="F301" t="s">
        <v>1277</v>
      </c>
    </row>
    <row r="302" spans="1:6" x14ac:dyDescent="0.3">
      <c r="A302" t="s">
        <v>1278</v>
      </c>
      <c r="B302" t="s">
        <v>1279</v>
      </c>
      <c r="C302">
        <v>237256</v>
      </c>
      <c r="D302">
        <v>1.9525413333333299</v>
      </c>
      <c r="E302" s="1" t="s">
        <v>1280</v>
      </c>
      <c r="F302" t="s">
        <v>1281</v>
      </c>
    </row>
    <row r="303" spans="1:6" x14ac:dyDescent="0.3">
      <c r="A303" t="s">
        <v>1282</v>
      </c>
      <c r="B303" t="s">
        <v>1283</v>
      </c>
      <c r="C303">
        <v>11504</v>
      </c>
      <c r="D303">
        <v>1.9429163333333299</v>
      </c>
      <c r="E303" s="1" t="s">
        <v>1284</v>
      </c>
      <c r="F303" t="s">
        <v>1285</v>
      </c>
    </row>
    <row r="304" spans="1:6" x14ac:dyDescent="0.3">
      <c r="A304" t="s">
        <v>1286</v>
      </c>
      <c r="B304" t="s">
        <v>1287</v>
      </c>
      <c r="C304">
        <v>54519</v>
      </c>
      <c r="D304">
        <v>1.9384172500000001</v>
      </c>
      <c r="E304" s="1" t="s">
        <v>1288</v>
      </c>
      <c r="F304" t="s">
        <v>1289</v>
      </c>
    </row>
    <row r="305" spans="1:6" x14ac:dyDescent="0.3">
      <c r="A305" t="s">
        <v>1290</v>
      </c>
      <c r="B305" t="s">
        <v>1291</v>
      </c>
      <c r="C305">
        <v>66141</v>
      </c>
      <c r="D305">
        <v>1.9382349999999999</v>
      </c>
      <c r="E305" s="1" t="s">
        <v>1292</v>
      </c>
      <c r="F305" t="s">
        <v>1293</v>
      </c>
    </row>
    <row r="306" spans="1:6" x14ac:dyDescent="0.3">
      <c r="A306" t="s">
        <v>1294</v>
      </c>
      <c r="B306" t="s">
        <v>1295</v>
      </c>
      <c r="C306">
        <v>56336</v>
      </c>
      <c r="D306">
        <v>1.9330370833333299</v>
      </c>
      <c r="E306" s="1" t="s">
        <v>1296</v>
      </c>
      <c r="F306" t="s">
        <v>1297</v>
      </c>
    </row>
    <row r="307" spans="1:6" x14ac:dyDescent="0.3">
      <c r="A307" t="s">
        <v>1298</v>
      </c>
      <c r="B307" t="s">
        <v>1299</v>
      </c>
      <c r="C307">
        <v>80885</v>
      </c>
      <c r="D307">
        <v>1.9284269166666701</v>
      </c>
      <c r="E307" s="1" t="s">
        <v>1300</v>
      </c>
      <c r="F307" t="s">
        <v>1301</v>
      </c>
    </row>
    <row r="308" spans="1:6" x14ac:dyDescent="0.3">
      <c r="A308" t="s">
        <v>1302</v>
      </c>
      <c r="B308" t="s">
        <v>1303</v>
      </c>
      <c r="C308">
        <v>235416</v>
      </c>
      <c r="D308">
        <v>1.922175</v>
      </c>
      <c r="E308">
        <v>4.9385118794749005E-4</v>
      </c>
      <c r="F308" t="s">
        <v>1304</v>
      </c>
    </row>
    <row r="309" spans="1:6" x14ac:dyDescent="0.3">
      <c r="A309" t="s">
        <v>1305</v>
      </c>
      <c r="B309" t="s">
        <v>1306</v>
      </c>
      <c r="C309">
        <v>13040</v>
      </c>
      <c r="D309">
        <v>1.92067083333333</v>
      </c>
      <c r="E309" s="1" t="s">
        <v>1307</v>
      </c>
      <c r="F309" t="s">
        <v>1308</v>
      </c>
    </row>
    <row r="310" spans="1:6" x14ac:dyDescent="0.3">
      <c r="A310" t="s">
        <v>1309</v>
      </c>
      <c r="B310" t="s">
        <v>1310</v>
      </c>
      <c r="C310">
        <v>23845</v>
      </c>
      <c r="D310">
        <v>1.91844533333333</v>
      </c>
      <c r="E310" s="1" t="s">
        <v>1311</v>
      </c>
      <c r="F310" t="s">
        <v>1312</v>
      </c>
    </row>
    <row r="311" spans="1:6" x14ac:dyDescent="0.3">
      <c r="A311" t="s">
        <v>1313</v>
      </c>
      <c r="B311" t="s">
        <v>1314</v>
      </c>
      <c r="C311">
        <v>12266</v>
      </c>
      <c r="D311">
        <v>1.9060741666666601</v>
      </c>
      <c r="E311" s="1" t="s">
        <v>1315</v>
      </c>
      <c r="F311" t="s">
        <v>1316</v>
      </c>
    </row>
    <row r="312" spans="1:6" x14ac:dyDescent="0.3">
      <c r="A312" t="s">
        <v>70</v>
      </c>
      <c r="B312" t="s">
        <v>69</v>
      </c>
      <c r="C312">
        <v>16193</v>
      </c>
      <c r="D312">
        <v>1.90450408333333</v>
      </c>
      <c r="E312" s="1" t="s">
        <v>1317</v>
      </c>
      <c r="F312" t="s">
        <v>1318</v>
      </c>
    </row>
    <row r="313" spans="1:6" x14ac:dyDescent="0.3">
      <c r="A313" t="s">
        <v>1319</v>
      </c>
      <c r="B313" t="s">
        <v>1319</v>
      </c>
      <c r="C313" t="s">
        <v>239</v>
      </c>
      <c r="D313">
        <v>1.9010184166666699</v>
      </c>
      <c r="E313">
        <v>2.75261808868035E-4</v>
      </c>
      <c r="F313" t="s">
        <v>239</v>
      </c>
    </row>
    <row r="314" spans="1:6" x14ac:dyDescent="0.3">
      <c r="A314" t="s">
        <v>1320</v>
      </c>
      <c r="B314" t="s">
        <v>1321</v>
      </c>
      <c r="C314">
        <v>20861</v>
      </c>
      <c r="D314">
        <v>1.90002141666667</v>
      </c>
      <c r="E314">
        <v>2.44441571498707E-2</v>
      </c>
      <c r="F314" t="s">
        <v>1322</v>
      </c>
    </row>
    <row r="315" spans="1:6" x14ac:dyDescent="0.3">
      <c r="A315" t="s">
        <v>1323</v>
      </c>
      <c r="B315" t="s">
        <v>1324</v>
      </c>
      <c r="C315">
        <v>18022</v>
      </c>
      <c r="D315">
        <v>1.8964666666666701</v>
      </c>
      <c r="E315">
        <v>1.5899681499009801E-4</v>
      </c>
      <c r="F315" t="s">
        <v>1325</v>
      </c>
    </row>
    <row r="316" spans="1:6" x14ac:dyDescent="0.3">
      <c r="A316" t="s">
        <v>1326</v>
      </c>
      <c r="B316" t="s">
        <v>1327</v>
      </c>
      <c r="C316">
        <v>16995</v>
      </c>
      <c r="D316">
        <v>1.8936821666666701</v>
      </c>
      <c r="E316">
        <v>5.4385946568054301E-4</v>
      </c>
      <c r="F316" t="s">
        <v>1328</v>
      </c>
    </row>
    <row r="317" spans="1:6" x14ac:dyDescent="0.3">
      <c r="A317" t="s">
        <v>1329</v>
      </c>
      <c r="B317" t="s">
        <v>1330</v>
      </c>
      <c r="C317">
        <v>18627</v>
      </c>
      <c r="D317">
        <v>1.892509</v>
      </c>
      <c r="E317">
        <v>4.4716141793125198E-2</v>
      </c>
      <c r="F317" t="s">
        <v>1331</v>
      </c>
    </row>
    <row r="318" spans="1:6" x14ac:dyDescent="0.3">
      <c r="A318" t="s">
        <v>1332</v>
      </c>
      <c r="B318" t="s">
        <v>1333</v>
      </c>
      <c r="C318">
        <v>17133</v>
      </c>
      <c r="D318">
        <v>1.8879300833333299</v>
      </c>
      <c r="E318" s="1" t="s">
        <v>1334</v>
      </c>
      <c r="F318" t="s">
        <v>1335</v>
      </c>
    </row>
    <row r="319" spans="1:6" x14ac:dyDescent="0.3">
      <c r="A319" t="s">
        <v>1336</v>
      </c>
      <c r="B319" t="s">
        <v>1337</v>
      </c>
      <c r="C319">
        <v>56620</v>
      </c>
      <c r="D319">
        <v>1.88760675</v>
      </c>
      <c r="E319">
        <v>1.8872781324559001E-4</v>
      </c>
      <c r="F319" t="s">
        <v>1338</v>
      </c>
    </row>
    <row r="320" spans="1:6" x14ac:dyDescent="0.3">
      <c r="A320" t="s">
        <v>1339</v>
      </c>
      <c r="B320" t="s">
        <v>1340</v>
      </c>
      <c r="C320">
        <v>19354</v>
      </c>
      <c r="D320">
        <v>1.88747625</v>
      </c>
      <c r="E320" s="1" t="s">
        <v>1341</v>
      </c>
      <c r="F320" t="s">
        <v>1342</v>
      </c>
    </row>
    <row r="321" spans="1:6" x14ac:dyDescent="0.3">
      <c r="A321" t="s">
        <v>1343</v>
      </c>
      <c r="B321" t="s">
        <v>1344</v>
      </c>
      <c r="C321">
        <v>215418</v>
      </c>
      <c r="D321">
        <v>1.88523658333333</v>
      </c>
      <c r="E321">
        <v>8.8589304623421297E-4</v>
      </c>
      <c r="F321" t="s">
        <v>1345</v>
      </c>
    </row>
    <row r="322" spans="1:6" x14ac:dyDescent="0.3">
      <c r="A322" t="s">
        <v>1346</v>
      </c>
      <c r="B322" t="s">
        <v>1347</v>
      </c>
      <c r="C322">
        <v>15944</v>
      </c>
      <c r="D322">
        <v>1.8842725</v>
      </c>
      <c r="E322" s="1" t="s">
        <v>1131</v>
      </c>
      <c r="F322" t="s">
        <v>1348</v>
      </c>
    </row>
    <row r="323" spans="1:6" x14ac:dyDescent="0.3">
      <c r="A323" t="s">
        <v>1349</v>
      </c>
      <c r="B323" t="s">
        <v>1350</v>
      </c>
      <c r="C323">
        <v>229003</v>
      </c>
      <c r="D323">
        <v>1.8807113333333301</v>
      </c>
      <c r="E323">
        <v>1.30622448124371E-4</v>
      </c>
      <c r="F323" t="s">
        <v>1351</v>
      </c>
    </row>
    <row r="324" spans="1:6" x14ac:dyDescent="0.3">
      <c r="A324" t="s">
        <v>1352</v>
      </c>
      <c r="B324" t="s">
        <v>1353</v>
      </c>
      <c r="C324">
        <v>98365</v>
      </c>
      <c r="D324">
        <v>1.87857233333333</v>
      </c>
      <c r="E324">
        <v>5.7322295164657401E-4</v>
      </c>
      <c r="F324" t="s">
        <v>1354</v>
      </c>
    </row>
    <row r="325" spans="1:6" x14ac:dyDescent="0.3">
      <c r="A325" t="s">
        <v>1355</v>
      </c>
      <c r="B325" t="s">
        <v>1356</v>
      </c>
      <c r="C325">
        <v>620913</v>
      </c>
      <c r="D325">
        <v>1.87651991666667</v>
      </c>
      <c r="E325">
        <v>1.7980872074161499E-4</v>
      </c>
      <c r="F325" t="s">
        <v>1357</v>
      </c>
    </row>
    <row r="326" spans="1:6" x14ac:dyDescent="0.3">
      <c r="A326" t="s">
        <v>1358</v>
      </c>
      <c r="B326" t="s">
        <v>1359</v>
      </c>
      <c r="C326">
        <v>170743</v>
      </c>
      <c r="D326">
        <v>1.87385816666667</v>
      </c>
      <c r="E326" s="1" t="s">
        <v>1360</v>
      </c>
      <c r="F326" t="s">
        <v>1361</v>
      </c>
    </row>
    <row r="327" spans="1:6" x14ac:dyDescent="0.3">
      <c r="A327" t="s">
        <v>1362</v>
      </c>
      <c r="B327" t="s">
        <v>1363</v>
      </c>
      <c r="C327">
        <v>16323</v>
      </c>
      <c r="D327">
        <v>1.8646860833333301</v>
      </c>
      <c r="E327">
        <v>1.21912051492285E-3</v>
      </c>
      <c r="F327" t="s">
        <v>1364</v>
      </c>
    </row>
    <row r="328" spans="1:6" x14ac:dyDescent="0.3">
      <c r="A328" t="s">
        <v>1365</v>
      </c>
      <c r="B328" t="s">
        <v>1366</v>
      </c>
      <c r="C328">
        <v>14664</v>
      </c>
      <c r="D328">
        <v>1.8638675</v>
      </c>
      <c r="E328" s="1" t="s">
        <v>1367</v>
      </c>
      <c r="F328" t="s">
        <v>1368</v>
      </c>
    </row>
    <row r="329" spans="1:6" x14ac:dyDescent="0.3">
      <c r="A329" t="s">
        <v>1369</v>
      </c>
      <c r="B329" t="s">
        <v>1370</v>
      </c>
      <c r="C329">
        <v>98999</v>
      </c>
      <c r="D329">
        <v>1.8618441666666701</v>
      </c>
      <c r="E329" s="1" t="s">
        <v>1371</v>
      </c>
      <c r="F329" t="s">
        <v>1372</v>
      </c>
    </row>
    <row r="330" spans="1:6" x14ac:dyDescent="0.3">
      <c r="A330" t="s">
        <v>1373</v>
      </c>
      <c r="B330" t="s">
        <v>1374</v>
      </c>
      <c r="C330">
        <v>171504</v>
      </c>
      <c r="D330">
        <v>1.8604810000000001</v>
      </c>
      <c r="E330">
        <v>2.9498593095409099E-4</v>
      </c>
      <c r="F330" t="s">
        <v>1375</v>
      </c>
    </row>
    <row r="331" spans="1:6" x14ac:dyDescent="0.3">
      <c r="A331" t="s">
        <v>1376</v>
      </c>
      <c r="B331" t="s">
        <v>1377</v>
      </c>
      <c r="C331">
        <v>11629</v>
      </c>
      <c r="D331">
        <v>1.85572108333333</v>
      </c>
      <c r="E331">
        <v>9.6226864353092295E-4</v>
      </c>
      <c r="F331" t="s">
        <v>1378</v>
      </c>
    </row>
    <row r="332" spans="1:6" x14ac:dyDescent="0.3">
      <c r="A332" t="s">
        <v>1379</v>
      </c>
      <c r="B332" t="s">
        <v>1380</v>
      </c>
      <c r="C332">
        <v>13664</v>
      </c>
      <c r="D332">
        <v>1.8537792500000001</v>
      </c>
      <c r="E332" s="1" t="s">
        <v>1381</v>
      </c>
      <c r="F332" t="s">
        <v>1382</v>
      </c>
    </row>
    <row r="333" spans="1:6" x14ac:dyDescent="0.3">
      <c r="A333" t="s">
        <v>1383</v>
      </c>
      <c r="B333" t="s">
        <v>1384</v>
      </c>
      <c r="C333">
        <v>216161</v>
      </c>
      <c r="D333">
        <v>1.85151341666667</v>
      </c>
      <c r="E333" s="1" t="s">
        <v>1385</v>
      </c>
      <c r="F333" t="s">
        <v>1386</v>
      </c>
    </row>
    <row r="334" spans="1:6" x14ac:dyDescent="0.3">
      <c r="A334" t="s">
        <v>1387</v>
      </c>
      <c r="B334" t="s">
        <v>1388</v>
      </c>
      <c r="C334">
        <v>13653</v>
      </c>
      <c r="D334">
        <v>1.85012666666667</v>
      </c>
      <c r="E334" s="1" t="s">
        <v>1107</v>
      </c>
      <c r="F334" t="s">
        <v>1389</v>
      </c>
    </row>
    <row r="335" spans="1:6" x14ac:dyDescent="0.3">
      <c r="A335" t="s">
        <v>1390</v>
      </c>
      <c r="B335" t="s">
        <v>1391</v>
      </c>
      <c r="C335">
        <v>76933</v>
      </c>
      <c r="D335">
        <v>1.8481733333333299</v>
      </c>
      <c r="E335" s="1" t="s">
        <v>1392</v>
      </c>
      <c r="F335" t="s">
        <v>1393</v>
      </c>
    </row>
    <row r="336" spans="1:6" x14ac:dyDescent="0.3">
      <c r="A336" t="s">
        <v>1394</v>
      </c>
      <c r="B336" t="s">
        <v>1395</v>
      </c>
      <c r="C336">
        <v>27052</v>
      </c>
      <c r="D336">
        <v>1.8466312499999999</v>
      </c>
      <c r="E336" s="1" t="s">
        <v>1396</v>
      </c>
      <c r="F336" t="s">
        <v>1397</v>
      </c>
    </row>
    <row r="337" spans="1:6" x14ac:dyDescent="0.3">
      <c r="A337" t="s">
        <v>1398</v>
      </c>
      <c r="B337" t="s">
        <v>1399</v>
      </c>
      <c r="C337">
        <v>229323</v>
      </c>
      <c r="D337">
        <v>1.84616583333333</v>
      </c>
      <c r="E337">
        <v>1.6881428389537001E-4</v>
      </c>
      <c r="F337" t="s">
        <v>1400</v>
      </c>
    </row>
    <row r="338" spans="1:6" x14ac:dyDescent="0.3">
      <c r="A338" t="s">
        <v>1401</v>
      </c>
      <c r="B338" t="s">
        <v>1402</v>
      </c>
      <c r="C338">
        <v>72075</v>
      </c>
      <c r="D338">
        <v>1.84509583333334</v>
      </c>
      <c r="E338" s="1" t="s">
        <v>1403</v>
      </c>
      <c r="F338" t="s">
        <v>1404</v>
      </c>
    </row>
    <row r="339" spans="1:6" x14ac:dyDescent="0.3">
      <c r="A339" t="s">
        <v>1405</v>
      </c>
      <c r="B339" t="s">
        <v>1406</v>
      </c>
      <c r="C339">
        <v>16948</v>
      </c>
      <c r="D339">
        <v>1.841161</v>
      </c>
      <c r="E339">
        <v>1.848555927433E-3</v>
      </c>
      <c r="F339" t="s">
        <v>1407</v>
      </c>
    </row>
    <row r="340" spans="1:6" x14ac:dyDescent="0.3">
      <c r="A340" t="s">
        <v>1408</v>
      </c>
      <c r="B340" t="s">
        <v>1409</v>
      </c>
      <c r="C340">
        <v>18854</v>
      </c>
      <c r="D340">
        <v>1.83001033333333</v>
      </c>
      <c r="E340" s="1" t="s">
        <v>1410</v>
      </c>
      <c r="F340" t="s">
        <v>1411</v>
      </c>
    </row>
    <row r="341" spans="1:6" x14ac:dyDescent="0.3">
      <c r="A341" t="s">
        <v>1412</v>
      </c>
      <c r="B341" t="s">
        <v>1412</v>
      </c>
      <c r="C341" t="s">
        <v>239</v>
      </c>
      <c r="D341">
        <v>1.8249055000000001</v>
      </c>
      <c r="E341">
        <v>5.3545929405099499E-4</v>
      </c>
      <c r="F341" t="s">
        <v>239</v>
      </c>
    </row>
    <row r="342" spans="1:6" x14ac:dyDescent="0.3">
      <c r="A342" t="s">
        <v>1413</v>
      </c>
      <c r="B342" t="s">
        <v>1414</v>
      </c>
      <c r="C342">
        <v>104759</v>
      </c>
      <c r="D342">
        <v>1.8238052499999999</v>
      </c>
      <c r="E342" s="1" t="s">
        <v>1415</v>
      </c>
      <c r="F342" t="s">
        <v>1416</v>
      </c>
    </row>
    <row r="343" spans="1:6" x14ac:dyDescent="0.3">
      <c r="A343" t="s">
        <v>1417</v>
      </c>
      <c r="B343" t="s">
        <v>1418</v>
      </c>
      <c r="C343">
        <v>11520</v>
      </c>
      <c r="D343">
        <v>1.8235732499999999</v>
      </c>
      <c r="E343" s="1" t="s">
        <v>833</v>
      </c>
      <c r="F343" t="s">
        <v>1419</v>
      </c>
    </row>
    <row r="344" spans="1:6" x14ac:dyDescent="0.3">
      <c r="A344" t="s">
        <v>1420</v>
      </c>
      <c r="B344" t="s">
        <v>1421</v>
      </c>
      <c r="C344">
        <v>118452</v>
      </c>
      <c r="D344">
        <v>1.8235378333333301</v>
      </c>
      <c r="E344" s="1" t="s">
        <v>1422</v>
      </c>
      <c r="F344" t="s">
        <v>1423</v>
      </c>
    </row>
    <row r="345" spans="1:6" x14ac:dyDescent="0.3">
      <c r="A345" t="s">
        <v>1424</v>
      </c>
      <c r="B345" t="s">
        <v>1425</v>
      </c>
      <c r="C345">
        <v>21356</v>
      </c>
      <c r="D345">
        <v>1.80984683333334</v>
      </c>
      <c r="E345">
        <v>2.5710237742039102E-3</v>
      </c>
      <c r="F345" t="s">
        <v>1426</v>
      </c>
    </row>
    <row r="346" spans="1:6" x14ac:dyDescent="0.3">
      <c r="A346" t="s">
        <v>1427</v>
      </c>
      <c r="B346" t="s">
        <v>1428</v>
      </c>
      <c r="C346">
        <v>244895</v>
      </c>
      <c r="D346">
        <v>1.80639491666667</v>
      </c>
      <c r="E346" s="1" t="s">
        <v>1429</v>
      </c>
      <c r="F346" t="s">
        <v>1430</v>
      </c>
    </row>
    <row r="347" spans="1:6" x14ac:dyDescent="0.3">
      <c r="A347" t="s">
        <v>1431</v>
      </c>
      <c r="B347" t="s">
        <v>1432</v>
      </c>
      <c r="C347">
        <v>80910</v>
      </c>
      <c r="D347">
        <v>1.7994460000000001</v>
      </c>
      <c r="E347" s="1" t="s">
        <v>1433</v>
      </c>
      <c r="F347" t="s">
        <v>1434</v>
      </c>
    </row>
    <row r="348" spans="1:6" x14ac:dyDescent="0.3">
      <c r="A348" t="s">
        <v>1435</v>
      </c>
      <c r="B348" t="s">
        <v>1436</v>
      </c>
      <c r="C348">
        <v>15170</v>
      </c>
      <c r="D348">
        <v>1.79869258333334</v>
      </c>
      <c r="E348" s="1" t="s">
        <v>1437</v>
      </c>
      <c r="F348" t="s">
        <v>1438</v>
      </c>
    </row>
    <row r="349" spans="1:6" x14ac:dyDescent="0.3">
      <c r="A349" t="s">
        <v>1439</v>
      </c>
      <c r="B349" t="s">
        <v>1440</v>
      </c>
      <c r="C349">
        <v>219151</v>
      </c>
      <c r="D349">
        <v>1.7960389999999999</v>
      </c>
      <c r="E349">
        <v>3.0347613054732599E-4</v>
      </c>
      <c r="F349" t="s">
        <v>1441</v>
      </c>
    </row>
    <row r="350" spans="1:6" x14ac:dyDescent="0.3">
      <c r="A350" t="s">
        <v>1442</v>
      </c>
      <c r="B350" t="s">
        <v>1443</v>
      </c>
      <c r="C350">
        <v>19152</v>
      </c>
      <c r="D350">
        <v>1.7951268333333299</v>
      </c>
      <c r="E350" s="1" t="s">
        <v>1444</v>
      </c>
      <c r="F350" t="s">
        <v>1445</v>
      </c>
    </row>
    <row r="351" spans="1:6" x14ac:dyDescent="0.3">
      <c r="A351" t="s">
        <v>1446</v>
      </c>
      <c r="B351" t="s">
        <v>1447</v>
      </c>
      <c r="C351">
        <v>140781</v>
      </c>
      <c r="D351">
        <v>1.7949405</v>
      </c>
      <c r="E351" s="1" t="s">
        <v>1448</v>
      </c>
      <c r="F351" t="s">
        <v>1449</v>
      </c>
    </row>
    <row r="352" spans="1:6" x14ac:dyDescent="0.3">
      <c r="A352" t="s">
        <v>1450</v>
      </c>
      <c r="B352" t="s">
        <v>1451</v>
      </c>
      <c r="C352">
        <v>209086</v>
      </c>
      <c r="D352">
        <v>1.7942639166666701</v>
      </c>
      <c r="E352" s="1" t="s">
        <v>1452</v>
      </c>
      <c r="F352" t="s">
        <v>1453</v>
      </c>
    </row>
    <row r="353" spans="1:6" x14ac:dyDescent="0.3">
      <c r="A353" t="s">
        <v>1454</v>
      </c>
      <c r="B353" t="s">
        <v>1455</v>
      </c>
      <c r="C353">
        <v>54427</v>
      </c>
      <c r="D353">
        <v>1.7885515000000001</v>
      </c>
      <c r="E353">
        <v>2.5501820542386199E-3</v>
      </c>
      <c r="F353" t="s">
        <v>1456</v>
      </c>
    </row>
    <row r="354" spans="1:6" x14ac:dyDescent="0.3">
      <c r="A354" t="s">
        <v>1457</v>
      </c>
      <c r="B354" t="s">
        <v>1458</v>
      </c>
      <c r="C354">
        <v>11810</v>
      </c>
      <c r="D354">
        <v>1.7873905833333299</v>
      </c>
      <c r="E354" s="1" t="s">
        <v>1459</v>
      </c>
      <c r="F354" t="s">
        <v>1460</v>
      </c>
    </row>
    <row r="355" spans="1:6" x14ac:dyDescent="0.3">
      <c r="A355" t="s">
        <v>1461</v>
      </c>
      <c r="B355" t="s">
        <v>1462</v>
      </c>
      <c r="C355">
        <v>67844</v>
      </c>
      <c r="D355">
        <v>1.78424591666667</v>
      </c>
      <c r="E355" s="1" t="s">
        <v>1463</v>
      </c>
      <c r="F355" t="s">
        <v>1464</v>
      </c>
    </row>
    <row r="356" spans="1:6" x14ac:dyDescent="0.3">
      <c r="A356" t="s">
        <v>1465</v>
      </c>
      <c r="B356" t="s">
        <v>1466</v>
      </c>
      <c r="C356">
        <v>110454</v>
      </c>
      <c r="D356">
        <v>1.779555</v>
      </c>
      <c r="E356" s="1" t="s">
        <v>1467</v>
      </c>
      <c r="F356" t="s">
        <v>1468</v>
      </c>
    </row>
    <row r="357" spans="1:6" x14ac:dyDescent="0.3">
      <c r="A357" t="s">
        <v>1469</v>
      </c>
      <c r="B357" t="s">
        <v>1470</v>
      </c>
      <c r="C357">
        <v>20862</v>
      </c>
      <c r="D357">
        <v>1.7771492499999999</v>
      </c>
      <c r="E357">
        <v>3.8422844793425497E-2</v>
      </c>
      <c r="F357" t="s">
        <v>1471</v>
      </c>
    </row>
    <row r="358" spans="1:6" x14ac:dyDescent="0.3">
      <c r="A358" t="s">
        <v>1472</v>
      </c>
      <c r="B358" t="s">
        <v>1473</v>
      </c>
      <c r="C358">
        <v>11982</v>
      </c>
      <c r="D358">
        <v>1.7746175</v>
      </c>
      <c r="E358" s="1" t="s">
        <v>851</v>
      </c>
      <c r="F358" t="s">
        <v>1474</v>
      </c>
    </row>
    <row r="359" spans="1:6" x14ac:dyDescent="0.3">
      <c r="A359" t="s">
        <v>1475</v>
      </c>
      <c r="B359" t="s">
        <v>1476</v>
      </c>
      <c r="C359">
        <v>64540</v>
      </c>
      <c r="D359">
        <v>1.7720945833333299</v>
      </c>
      <c r="E359" s="1" t="s">
        <v>1477</v>
      </c>
      <c r="F359" t="s">
        <v>1478</v>
      </c>
    </row>
    <row r="360" spans="1:6" x14ac:dyDescent="0.3">
      <c r="A360" t="s">
        <v>1479</v>
      </c>
      <c r="B360" t="s">
        <v>1480</v>
      </c>
      <c r="C360">
        <v>104886</v>
      </c>
      <c r="D360">
        <v>1.770551</v>
      </c>
      <c r="E360" s="1" t="s">
        <v>1481</v>
      </c>
      <c r="F360" t="s">
        <v>1482</v>
      </c>
    </row>
    <row r="361" spans="1:6" x14ac:dyDescent="0.3">
      <c r="A361" t="s">
        <v>1483</v>
      </c>
      <c r="B361" t="s">
        <v>1484</v>
      </c>
      <c r="C361">
        <v>17454</v>
      </c>
      <c r="D361">
        <v>1.769493</v>
      </c>
      <c r="E361" s="1" t="s">
        <v>1205</v>
      </c>
      <c r="F361" t="s">
        <v>1485</v>
      </c>
    </row>
    <row r="362" spans="1:6" x14ac:dyDescent="0.3">
      <c r="A362" t="s">
        <v>1486</v>
      </c>
      <c r="B362" t="s">
        <v>1487</v>
      </c>
      <c r="C362">
        <v>13123</v>
      </c>
      <c r="D362">
        <v>1.7690368333333299</v>
      </c>
      <c r="E362" s="1" t="s">
        <v>1488</v>
      </c>
      <c r="F362" t="s">
        <v>1489</v>
      </c>
    </row>
    <row r="363" spans="1:6" x14ac:dyDescent="0.3">
      <c r="A363" t="s">
        <v>1490</v>
      </c>
      <c r="B363" t="s">
        <v>1491</v>
      </c>
      <c r="C363">
        <v>327958</v>
      </c>
      <c r="D363">
        <v>1.769028</v>
      </c>
      <c r="E363">
        <v>1.1606698782631599E-4</v>
      </c>
      <c r="F363" t="s">
        <v>1492</v>
      </c>
    </row>
    <row r="364" spans="1:6" x14ac:dyDescent="0.3">
      <c r="A364" t="s">
        <v>150</v>
      </c>
      <c r="B364" t="s">
        <v>149</v>
      </c>
      <c r="C364">
        <v>213208</v>
      </c>
      <c r="D364">
        <v>1.76721025</v>
      </c>
      <c r="E364">
        <v>1.3275742718582101E-4</v>
      </c>
      <c r="F364" t="s">
        <v>1493</v>
      </c>
    </row>
    <row r="365" spans="1:6" x14ac:dyDescent="0.3">
      <c r="A365" t="s">
        <v>1494</v>
      </c>
      <c r="B365" t="s">
        <v>1495</v>
      </c>
      <c r="C365">
        <v>20717</v>
      </c>
      <c r="D365">
        <v>1.76593183333333</v>
      </c>
      <c r="E365">
        <v>2.20004671237575E-2</v>
      </c>
      <c r="F365" t="s">
        <v>1496</v>
      </c>
    </row>
    <row r="366" spans="1:6" x14ac:dyDescent="0.3">
      <c r="A366" t="s">
        <v>1497</v>
      </c>
      <c r="B366" t="s">
        <v>1498</v>
      </c>
      <c r="C366">
        <v>75345</v>
      </c>
      <c r="D366">
        <v>1.76236983333333</v>
      </c>
      <c r="E366">
        <v>4.8387153291834799E-4</v>
      </c>
      <c r="F366" t="s">
        <v>1499</v>
      </c>
    </row>
    <row r="367" spans="1:6" x14ac:dyDescent="0.3">
      <c r="A367" t="s">
        <v>1500</v>
      </c>
      <c r="B367" t="s">
        <v>1501</v>
      </c>
      <c r="C367">
        <v>17069</v>
      </c>
      <c r="D367">
        <v>1.7617083333333301</v>
      </c>
      <c r="E367" s="1" t="s">
        <v>1502</v>
      </c>
      <c r="F367" t="s">
        <v>1503</v>
      </c>
    </row>
    <row r="368" spans="1:6" x14ac:dyDescent="0.3">
      <c r="A368" t="s">
        <v>1504</v>
      </c>
      <c r="B368" t="s">
        <v>1505</v>
      </c>
      <c r="C368">
        <v>17872</v>
      </c>
      <c r="D368">
        <v>1.76114025</v>
      </c>
      <c r="E368" s="1" t="s">
        <v>1506</v>
      </c>
      <c r="F368" t="s">
        <v>1507</v>
      </c>
    </row>
    <row r="369" spans="1:6" x14ac:dyDescent="0.3">
      <c r="A369" t="s">
        <v>1508</v>
      </c>
      <c r="B369" t="s">
        <v>1509</v>
      </c>
      <c r="C369">
        <v>20855</v>
      </c>
      <c r="D369">
        <v>1.7542895000000001</v>
      </c>
      <c r="E369">
        <v>1.7670505900860599E-3</v>
      </c>
      <c r="F369" t="s">
        <v>1510</v>
      </c>
    </row>
    <row r="370" spans="1:6" x14ac:dyDescent="0.3">
      <c r="A370" t="s">
        <v>1511</v>
      </c>
      <c r="B370" t="s">
        <v>1512</v>
      </c>
      <c r="C370">
        <v>69028</v>
      </c>
      <c r="D370">
        <v>1.74735858333334</v>
      </c>
      <c r="E370" s="1" t="s">
        <v>1513</v>
      </c>
      <c r="F370" t="s">
        <v>1514</v>
      </c>
    </row>
    <row r="371" spans="1:6" x14ac:dyDescent="0.3">
      <c r="A371" t="s">
        <v>1515</v>
      </c>
      <c r="B371" t="s">
        <v>1516</v>
      </c>
      <c r="C371">
        <v>75465</v>
      </c>
      <c r="D371">
        <v>1.7463355</v>
      </c>
      <c r="E371">
        <v>1.34411240238666E-3</v>
      </c>
      <c r="F371" t="s">
        <v>1517</v>
      </c>
    </row>
    <row r="372" spans="1:6" x14ac:dyDescent="0.3">
      <c r="A372" t="s">
        <v>1518</v>
      </c>
      <c r="B372" t="s">
        <v>1519</v>
      </c>
      <c r="C372">
        <v>26362</v>
      </c>
      <c r="D372">
        <v>1.7443283333333399</v>
      </c>
      <c r="E372" s="1" t="s">
        <v>1520</v>
      </c>
      <c r="F372" t="s">
        <v>1521</v>
      </c>
    </row>
    <row r="373" spans="1:6" x14ac:dyDescent="0.3">
      <c r="A373" t="s">
        <v>1522</v>
      </c>
      <c r="B373" t="s">
        <v>1523</v>
      </c>
      <c r="C373">
        <v>109082</v>
      </c>
      <c r="D373">
        <v>1.7383311666666601</v>
      </c>
      <c r="E373">
        <v>7.3445041759589199E-4</v>
      </c>
      <c r="F373" t="s">
        <v>1524</v>
      </c>
    </row>
    <row r="374" spans="1:6" x14ac:dyDescent="0.3">
      <c r="A374" t="s">
        <v>1525</v>
      </c>
      <c r="B374" t="s">
        <v>1526</v>
      </c>
      <c r="C374">
        <v>14858</v>
      </c>
      <c r="D374">
        <v>1.737125</v>
      </c>
      <c r="E374">
        <v>1.58414341361671E-2</v>
      </c>
      <c r="F374" t="s">
        <v>1527</v>
      </c>
    </row>
    <row r="375" spans="1:6" x14ac:dyDescent="0.3">
      <c r="A375" t="s">
        <v>1528</v>
      </c>
      <c r="B375" t="s">
        <v>1529</v>
      </c>
      <c r="C375">
        <v>19171</v>
      </c>
      <c r="D375">
        <v>1.7365841666666599</v>
      </c>
      <c r="E375" s="1" t="s">
        <v>1530</v>
      </c>
      <c r="F375" t="s">
        <v>1531</v>
      </c>
    </row>
    <row r="376" spans="1:6" x14ac:dyDescent="0.3">
      <c r="A376" t="s">
        <v>1532</v>
      </c>
      <c r="B376" t="s">
        <v>1533</v>
      </c>
      <c r="C376">
        <v>24055</v>
      </c>
      <c r="D376">
        <v>1.734999</v>
      </c>
      <c r="E376">
        <v>1.6893532102385899E-4</v>
      </c>
      <c r="F376" t="s">
        <v>1534</v>
      </c>
    </row>
    <row r="377" spans="1:6" x14ac:dyDescent="0.3">
      <c r="A377" t="s">
        <v>1535</v>
      </c>
      <c r="B377" t="s">
        <v>1536</v>
      </c>
      <c r="C377">
        <v>12931</v>
      </c>
      <c r="D377">
        <v>1.73444783333333</v>
      </c>
      <c r="E377">
        <v>3.5696369839017299E-2</v>
      </c>
      <c r="F377" t="s">
        <v>1537</v>
      </c>
    </row>
    <row r="378" spans="1:6" x14ac:dyDescent="0.3">
      <c r="A378" t="s">
        <v>1538</v>
      </c>
      <c r="B378" t="s">
        <v>1539</v>
      </c>
      <c r="C378">
        <v>14538</v>
      </c>
      <c r="D378">
        <v>1.73176533333333</v>
      </c>
      <c r="E378" s="1" t="s">
        <v>1540</v>
      </c>
      <c r="F378" t="s">
        <v>1541</v>
      </c>
    </row>
    <row r="379" spans="1:6" x14ac:dyDescent="0.3">
      <c r="A379" t="s">
        <v>1542</v>
      </c>
      <c r="B379" t="s">
        <v>1543</v>
      </c>
      <c r="C379">
        <v>68279</v>
      </c>
      <c r="D379">
        <v>1.72501866666667</v>
      </c>
      <c r="E379">
        <v>4.6632273927979501E-4</v>
      </c>
      <c r="F379" t="s">
        <v>1544</v>
      </c>
    </row>
    <row r="380" spans="1:6" x14ac:dyDescent="0.3">
      <c r="A380" t="s">
        <v>1545</v>
      </c>
      <c r="B380" t="s">
        <v>1546</v>
      </c>
      <c r="C380">
        <v>14130</v>
      </c>
      <c r="D380">
        <v>1.72366191666667</v>
      </c>
      <c r="E380" s="1" t="s">
        <v>1547</v>
      </c>
      <c r="F380" t="s">
        <v>1548</v>
      </c>
    </row>
    <row r="381" spans="1:6" x14ac:dyDescent="0.3">
      <c r="A381" t="s">
        <v>1549</v>
      </c>
      <c r="B381" t="s">
        <v>1550</v>
      </c>
      <c r="C381">
        <v>52855</v>
      </c>
      <c r="D381">
        <v>1.72342325</v>
      </c>
      <c r="E381">
        <v>7.7901355940320296E-4</v>
      </c>
      <c r="F381" t="s">
        <v>1551</v>
      </c>
    </row>
    <row r="382" spans="1:6" x14ac:dyDescent="0.3">
      <c r="A382" t="s">
        <v>1552</v>
      </c>
      <c r="B382" t="s">
        <v>1553</v>
      </c>
      <c r="C382">
        <v>212980</v>
      </c>
      <c r="D382">
        <v>1.72139458333333</v>
      </c>
      <c r="E382" s="1" t="s">
        <v>1547</v>
      </c>
      <c r="F382" t="s">
        <v>1554</v>
      </c>
    </row>
    <row r="383" spans="1:6" x14ac:dyDescent="0.3">
      <c r="A383" t="s">
        <v>1555</v>
      </c>
      <c r="B383" t="s">
        <v>1556</v>
      </c>
      <c r="C383">
        <v>67963</v>
      </c>
      <c r="D383">
        <v>1.7176514166666701</v>
      </c>
      <c r="E383" s="1" t="s">
        <v>1557</v>
      </c>
      <c r="F383" t="s">
        <v>1558</v>
      </c>
    </row>
    <row r="384" spans="1:6" x14ac:dyDescent="0.3">
      <c r="A384" t="s">
        <v>1559</v>
      </c>
      <c r="B384" t="s">
        <v>1560</v>
      </c>
      <c r="C384">
        <v>218975</v>
      </c>
      <c r="D384">
        <v>1.7148845833333299</v>
      </c>
      <c r="E384" s="1" t="s">
        <v>1561</v>
      </c>
      <c r="F384" t="s">
        <v>1562</v>
      </c>
    </row>
    <row r="385" spans="1:6" x14ac:dyDescent="0.3">
      <c r="A385" t="s">
        <v>1563</v>
      </c>
      <c r="B385" t="s">
        <v>1564</v>
      </c>
      <c r="C385">
        <v>19419</v>
      </c>
      <c r="D385">
        <v>1.7131128333333301</v>
      </c>
      <c r="E385">
        <v>2.7124796971422199E-2</v>
      </c>
      <c r="F385" t="s">
        <v>1565</v>
      </c>
    </row>
    <row r="386" spans="1:6" x14ac:dyDescent="0.3">
      <c r="A386" t="s">
        <v>1566</v>
      </c>
      <c r="B386" t="s">
        <v>1567</v>
      </c>
      <c r="C386">
        <v>53314</v>
      </c>
      <c r="D386">
        <v>1.70951725</v>
      </c>
      <c r="E386">
        <v>2.42406040823344E-4</v>
      </c>
      <c r="F386" t="s">
        <v>1568</v>
      </c>
    </row>
    <row r="387" spans="1:6" x14ac:dyDescent="0.3">
      <c r="A387" t="s">
        <v>1569</v>
      </c>
      <c r="B387" t="s">
        <v>1570</v>
      </c>
      <c r="C387">
        <v>12048</v>
      </c>
      <c r="D387">
        <v>1.70889816666667</v>
      </c>
      <c r="E387" s="1" t="s">
        <v>1392</v>
      </c>
      <c r="F387" t="s">
        <v>1571</v>
      </c>
    </row>
    <row r="388" spans="1:6" x14ac:dyDescent="0.3">
      <c r="A388" t="s">
        <v>1572</v>
      </c>
      <c r="B388" t="s">
        <v>1573</v>
      </c>
      <c r="C388">
        <v>108101</v>
      </c>
      <c r="D388">
        <v>1.7049480833333299</v>
      </c>
      <c r="E388" s="1" t="s">
        <v>1574</v>
      </c>
      <c r="F388" t="s">
        <v>1575</v>
      </c>
    </row>
    <row r="389" spans="1:6" x14ac:dyDescent="0.3">
      <c r="A389" t="s">
        <v>1576</v>
      </c>
      <c r="B389" t="s">
        <v>1577</v>
      </c>
      <c r="C389">
        <v>17135</v>
      </c>
      <c r="D389">
        <v>1.7031658333333299</v>
      </c>
      <c r="E389">
        <v>8.2677751913563507E-3</v>
      </c>
      <c r="F389" t="s">
        <v>1578</v>
      </c>
    </row>
    <row r="390" spans="1:6" x14ac:dyDescent="0.3">
      <c r="A390" t="s">
        <v>1579</v>
      </c>
      <c r="B390" t="s">
        <v>1580</v>
      </c>
      <c r="C390">
        <v>12257</v>
      </c>
      <c r="D390">
        <v>1.7002583333333401</v>
      </c>
      <c r="E390" s="1" t="s">
        <v>1581</v>
      </c>
      <c r="F390" t="s">
        <v>1582</v>
      </c>
    </row>
    <row r="391" spans="1:6" x14ac:dyDescent="0.3">
      <c r="A391" t="s">
        <v>1583</v>
      </c>
      <c r="B391" t="s">
        <v>1584</v>
      </c>
      <c r="C391">
        <v>244579</v>
      </c>
      <c r="D391">
        <v>1.6967538333333301</v>
      </c>
      <c r="E391" s="1" t="s">
        <v>1585</v>
      </c>
      <c r="F391" t="s">
        <v>1586</v>
      </c>
    </row>
    <row r="392" spans="1:6" x14ac:dyDescent="0.3">
      <c r="A392" t="s">
        <v>1587</v>
      </c>
      <c r="B392" t="s">
        <v>1588</v>
      </c>
      <c r="C392">
        <v>11541</v>
      </c>
      <c r="D392">
        <v>1.6955004166666701</v>
      </c>
      <c r="E392" s="1" t="s">
        <v>1589</v>
      </c>
      <c r="F392" t="s">
        <v>1590</v>
      </c>
    </row>
    <row r="393" spans="1:6" x14ac:dyDescent="0.3">
      <c r="A393" t="s">
        <v>1591</v>
      </c>
      <c r="B393" t="s">
        <v>1592</v>
      </c>
      <c r="C393">
        <v>17869</v>
      </c>
      <c r="D393">
        <v>1.6933272500000001</v>
      </c>
      <c r="E393" s="1" t="s">
        <v>1593</v>
      </c>
      <c r="F393" t="s">
        <v>1594</v>
      </c>
    </row>
    <row r="394" spans="1:6" x14ac:dyDescent="0.3">
      <c r="A394" t="s">
        <v>1595</v>
      </c>
      <c r="B394" t="s">
        <v>1596</v>
      </c>
      <c r="C394">
        <v>15442</v>
      </c>
      <c r="D394">
        <v>1.69044333333333</v>
      </c>
      <c r="E394">
        <v>2.21826895440606E-4</v>
      </c>
      <c r="F394" t="s">
        <v>1597</v>
      </c>
    </row>
    <row r="395" spans="1:6" x14ac:dyDescent="0.3">
      <c r="A395" t="s">
        <v>1598</v>
      </c>
      <c r="B395" t="s">
        <v>1599</v>
      </c>
      <c r="C395">
        <v>12332</v>
      </c>
      <c r="D395">
        <v>1.6900525</v>
      </c>
      <c r="E395" s="1" t="s">
        <v>1600</v>
      </c>
      <c r="F395" t="s">
        <v>1601</v>
      </c>
    </row>
    <row r="396" spans="1:6" x14ac:dyDescent="0.3">
      <c r="A396" t="s">
        <v>1602</v>
      </c>
      <c r="B396" t="s">
        <v>1603</v>
      </c>
      <c r="C396">
        <v>16912</v>
      </c>
      <c r="D396">
        <v>1.6880644166666601</v>
      </c>
      <c r="E396">
        <v>4.3000988616631201E-2</v>
      </c>
      <c r="F396" t="s">
        <v>1604</v>
      </c>
    </row>
    <row r="397" spans="1:6" x14ac:dyDescent="0.3">
      <c r="A397" t="s">
        <v>1605</v>
      </c>
      <c r="B397" t="s">
        <v>1606</v>
      </c>
      <c r="C397">
        <v>217069</v>
      </c>
      <c r="D397">
        <v>1.68641341666666</v>
      </c>
      <c r="E397" s="1" t="s">
        <v>1607</v>
      </c>
      <c r="F397" t="s">
        <v>1608</v>
      </c>
    </row>
    <row r="398" spans="1:6" x14ac:dyDescent="0.3">
      <c r="A398" t="s">
        <v>1609</v>
      </c>
      <c r="B398" t="s">
        <v>1610</v>
      </c>
      <c r="C398">
        <v>22324</v>
      </c>
      <c r="D398">
        <v>1.6701868333333301</v>
      </c>
      <c r="E398">
        <v>1.17433842389733E-4</v>
      </c>
      <c r="F398" t="s">
        <v>1611</v>
      </c>
    </row>
    <row r="399" spans="1:6" x14ac:dyDescent="0.3">
      <c r="A399" t="s">
        <v>1612</v>
      </c>
      <c r="B399" t="s">
        <v>1613</v>
      </c>
      <c r="C399">
        <v>19378</v>
      </c>
      <c r="D399">
        <v>1.66999858333333</v>
      </c>
      <c r="E399">
        <v>8.8227298811362296E-4</v>
      </c>
      <c r="F399" t="s">
        <v>1614</v>
      </c>
    </row>
    <row r="400" spans="1:6" x14ac:dyDescent="0.3">
      <c r="A400" t="s">
        <v>1615</v>
      </c>
      <c r="B400" t="s">
        <v>1616</v>
      </c>
      <c r="C400">
        <v>67689</v>
      </c>
      <c r="D400">
        <v>1.66966191666666</v>
      </c>
      <c r="E400">
        <v>5.1051446598212701E-4</v>
      </c>
      <c r="F400" t="s">
        <v>1617</v>
      </c>
    </row>
    <row r="401" spans="1:6" x14ac:dyDescent="0.3">
      <c r="A401" t="s">
        <v>1618</v>
      </c>
      <c r="B401" t="s">
        <v>1619</v>
      </c>
      <c r="C401">
        <v>230257</v>
      </c>
      <c r="D401">
        <v>1.6665831666666699</v>
      </c>
      <c r="E401" s="1" t="s">
        <v>1620</v>
      </c>
      <c r="F401" t="s">
        <v>1621</v>
      </c>
    </row>
    <row r="402" spans="1:6" x14ac:dyDescent="0.3">
      <c r="A402" t="s">
        <v>1622</v>
      </c>
      <c r="B402" t="s">
        <v>1623</v>
      </c>
      <c r="C402">
        <v>15937</v>
      </c>
      <c r="D402">
        <v>1.66347816666667</v>
      </c>
      <c r="E402">
        <v>3.9933992693291402E-4</v>
      </c>
      <c r="F402" t="s">
        <v>1624</v>
      </c>
    </row>
    <row r="403" spans="1:6" x14ac:dyDescent="0.3">
      <c r="A403" t="s">
        <v>1625</v>
      </c>
      <c r="B403" t="s">
        <v>1626</v>
      </c>
      <c r="C403">
        <v>19268</v>
      </c>
      <c r="D403">
        <v>1.6634119166666701</v>
      </c>
      <c r="E403" s="1" t="s">
        <v>1627</v>
      </c>
      <c r="F403" t="s">
        <v>1628</v>
      </c>
    </row>
    <row r="404" spans="1:6" x14ac:dyDescent="0.3">
      <c r="A404" t="s">
        <v>1629</v>
      </c>
      <c r="B404" t="s">
        <v>1630</v>
      </c>
      <c r="C404">
        <v>27060</v>
      </c>
      <c r="D404">
        <v>1.6619757500000001</v>
      </c>
      <c r="E404" s="1" t="s">
        <v>534</v>
      </c>
      <c r="F404" t="s">
        <v>1631</v>
      </c>
    </row>
    <row r="405" spans="1:6" x14ac:dyDescent="0.3">
      <c r="A405" t="s">
        <v>1632</v>
      </c>
      <c r="B405" t="s">
        <v>1633</v>
      </c>
      <c r="C405">
        <v>78593</v>
      </c>
      <c r="D405">
        <v>1.66134633333333</v>
      </c>
      <c r="E405">
        <v>1.6812053648868699E-3</v>
      </c>
      <c r="F405" t="s">
        <v>1634</v>
      </c>
    </row>
    <row r="406" spans="1:6" x14ac:dyDescent="0.3">
      <c r="A406" t="s">
        <v>1635</v>
      </c>
      <c r="B406" t="s">
        <v>1635</v>
      </c>
      <c r="C406" t="s">
        <v>239</v>
      </c>
      <c r="D406">
        <v>1.66118208333333</v>
      </c>
      <c r="E406">
        <v>8.4977024820503001E-4</v>
      </c>
      <c r="F406" t="s">
        <v>239</v>
      </c>
    </row>
    <row r="407" spans="1:6" x14ac:dyDescent="0.3">
      <c r="A407" t="s">
        <v>1636</v>
      </c>
      <c r="B407" t="s">
        <v>1637</v>
      </c>
      <c r="C407">
        <v>15160</v>
      </c>
      <c r="D407">
        <v>1.6578524166666699</v>
      </c>
      <c r="E407">
        <v>2.72022593829125E-4</v>
      </c>
      <c r="F407" t="s">
        <v>1638</v>
      </c>
    </row>
    <row r="408" spans="1:6" x14ac:dyDescent="0.3">
      <c r="A408" t="s">
        <v>1639</v>
      </c>
      <c r="B408" t="s">
        <v>1640</v>
      </c>
      <c r="C408">
        <v>21815</v>
      </c>
      <c r="D408">
        <v>1.6573074166666699</v>
      </c>
      <c r="E408" s="1" t="s">
        <v>1641</v>
      </c>
      <c r="F408" t="s">
        <v>1642</v>
      </c>
    </row>
    <row r="409" spans="1:6" x14ac:dyDescent="0.3">
      <c r="A409" t="s">
        <v>1643</v>
      </c>
      <c r="B409" t="s">
        <v>1644</v>
      </c>
      <c r="C409" t="s">
        <v>239</v>
      </c>
      <c r="D409">
        <v>1.65711733333333</v>
      </c>
      <c r="E409" s="1" t="s">
        <v>1645</v>
      </c>
      <c r="F409" t="s">
        <v>1646</v>
      </c>
    </row>
    <row r="410" spans="1:6" x14ac:dyDescent="0.3">
      <c r="A410" t="s">
        <v>1647</v>
      </c>
      <c r="B410" t="s">
        <v>1648</v>
      </c>
      <c r="C410">
        <v>22695</v>
      </c>
      <c r="D410">
        <v>1.65496516666667</v>
      </c>
      <c r="E410" s="1" t="s">
        <v>1649</v>
      </c>
      <c r="F410" t="s">
        <v>1650</v>
      </c>
    </row>
    <row r="411" spans="1:6" x14ac:dyDescent="0.3">
      <c r="A411" t="s">
        <v>1651</v>
      </c>
      <c r="B411" t="s">
        <v>1652</v>
      </c>
      <c r="C411">
        <v>56619</v>
      </c>
      <c r="D411">
        <v>1.6465463333333299</v>
      </c>
      <c r="E411" s="1" t="s">
        <v>1653</v>
      </c>
      <c r="F411" t="s">
        <v>1654</v>
      </c>
    </row>
    <row r="412" spans="1:6" x14ac:dyDescent="0.3">
      <c r="A412" t="s">
        <v>1655</v>
      </c>
      <c r="B412" t="s">
        <v>1656</v>
      </c>
      <c r="C412">
        <v>64381</v>
      </c>
      <c r="D412">
        <v>1.64355458333333</v>
      </c>
      <c r="E412">
        <v>1.6825533848104101E-2</v>
      </c>
      <c r="F412" t="s">
        <v>1657</v>
      </c>
    </row>
    <row r="413" spans="1:6" x14ac:dyDescent="0.3">
      <c r="A413" t="s">
        <v>1658</v>
      </c>
      <c r="B413" t="s">
        <v>1659</v>
      </c>
      <c r="C413">
        <v>22271</v>
      </c>
      <c r="D413">
        <v>1.6383322499999999</v>
      </c>
      <c r="E413" s="1" t="s">
        <v>1660</v>
      </c>
      <c r="F413" t="s">
        <v>1661</v>
      </c>
    </row>
    <row r="414" spans="1:6" x14ac:dyDescent="0.3">
      <c r="A414" t="s">
        <v>1662</v>
      </c>
      <c r="B414" t="s">
        <v>1663</v>
      </c>
      <c r="C414">
        <v>11877</v>
      </c>
      <c r="D414">
        <v>1.63772716666667</v>
      </c>
      <c r="E414">
        <v>1.23280613885474E-2</v>
      </c>
      <c r="F414" t="s">
        <v>1664</v>
      </c>
    </row>
    <row r="415" spans="1:6" x14ac:dyDescent="0.3">
      <c r="A415" t="s">
        <v>1665</v>
      </c>
      <c r="B415" t="s">
        <v>1666</v>
      </c>
      <c r="C415">
        <v>19200</v>
      </c>
      <c r="D415">
        <v>1.63628041666667</v>
      </c>
      <c r="E415">
        <v>3.2060137140999998E-3</v>
      </c>
      <c r="F415" t="s">
        <v>1667</v>
      </c>
    </row>
    <row r="416" spans="1:6" x14ac:dyDescent="0.3">
      <c r="A416" t="s">
        <v>1668</v>
      </c>
      <c r="B416" t="s">
        <v>1669</v>
      </c>
      <c r="C416">
        <v>243910</v>
      </c>
      <c r="D416">
        <v>1.63518116666667</v>
      </c>
      <c r="E416">
        <v>4.5619786492708398E-4</v>
      </c>
      <c r="F416" t="s">
        <v>1670</v>
      </c>
    </row>
    <row r="417" spans="1:6" x14ac:dyDescent="0.3">
      <c r="A417" t="s">
        <v>1671</v>
      </c>
      <c r="B417" t="s">
        <v>1672</v>
      </c>
      <c r="C417">
        <v>17874</v>
      </c>
      <c r="D417">
        <v>1.62449633333334</v>
      </c>
      <c r="E417" s="1" t="s">
        <v>1488</v>
      </c>
      <c r="F417" t="s">
        <v>1673</v>
      </c>
    </row>
    <row r="418" spans="1:6" x14ac:dyDescent="0.3">
      <c r="A418" t="s">
        <v>1674</v>
      </c>
      <c r="B418" t="s">
        <v>1675</v>
      </c>
      <c r="C418">
        <v>20911</v>
      </c>
      <c r="D418">
        <v>1.62119866666667</v>
      </c>
      <c r="E418">
        <v>1.5521760694502199E-4</v>
      </c>
      <c r="F418" t="s">
        <v>1676</v>
      </c>
    </row>
    <row r="419" spans="1:6" x14ac:dyDescent="0.3">
      <c r="A419" t="s">
        <v>1677</v>
      </c>
      <c r="B419" t="s">
        <v>1678</v>
      </c>
      <c r="C419">
        <v>27279</v>
      </c>
      <c r="D419">
        <v>1.62109083333334</v>
      </c>
      <c r="E419" s="1" t="s">
        <v>1679</v>
      </c>
      <c r="F419" t="s">
        <v>1680</v>
      </c>
    </row>
    <row r="420" spans="1:6" x14ac:dyDescent="0.3">
      <c r="A420" t="s">
        <v>1681</v>
      </c>
      <c r="B420" t="s">
        <v>1682</v>
      </c>
      <c r="C420">
        <v>244682</v>
      </c>
      <c r="D420">
        <v>1.62056608333333</v>
      </c>
      <c r="E420" s="1" t="s">
        <v>1683</v>
      </c>
      <c r="F420" t="s">
        <v>1684</v>
      </c>
    </row>
    <row r="421" spans="1:6" x14ac:dyDescent="0.3">
      <c r="A421" t="s">
        <v>1685</v>
      </c>
      <c r="B421" t="s">
        <v>1686</v>
      </c>
      <c r="C421">
        <v>213233</v>
      </c>
      <c r="D421">
        <v>1.61840125</v>
      </c>
      <c r="E421" s="1" t="s">
        <v>1687</v>
      </c>
      <c r="F421" t="s">
        <v>1688</v>
      </c>
    </row>
    <row r="422" spans="1:6" x14ac:dyDescent="0.3">
      <c r="A422" t="s">
        <v>1689</v>
      </c>
      <c r="B422" t="s">
        <v>1690</v>
      </c>
      <c r="C422">
        <v>64095</v>
      </c>
      <c r="D422">
        <v>1.61774533333333</v>
      </c>
      <c r="E422">
        <v>6.6395209711981999E-4</v>
      </c>
      <c r="F422" t="s">
        <v>1691</v>
      </c>
    </row>
    <row r="423" spans="1:6" x14ac:dyDescent="0.3">
      <c r="A423" t="s">
        <v>1692</v>
      </c>
      <c r="B423" t="s">
        <v>1693</v>
      </c>
      <c r="C423">
        <v>66985</v>
      </c>
      <c r="D423">
        <v>1.6172500000000001</v>
      </c>
      <c r="E423" s="1" t="s">
        <v>1694</v>
      </c>
      <c r="F423" t="s">
        <v>1695</v>
      </c>
    </row>
    <row r="424" spans="1:6" x14ac:dyDescent="0.3">
      <c r="A424" t="s">
        <v>1696</v>
      </c>
      <c r="B424" t="s">
        <v>1697</v>
      </c>
      <c r="C424">
        <v>66940</v>
      </c>
      <c r="D424">
        <v>1.61342241666667</v>
      </c>
      <c r="E424" s="1" t="s">
        <v>1698</v>
      </c>
      <c r="F424" t="s">
        <v>1699</v>
      </c>
    </row>
    <row r="425" spans="1:6" x14ac:dyDescent="0.3">
      <c r="A425" t="s">
        <v>1700</v>
      </c>
      <c r="B425" t="s">
        <v>1701</v>
      </c>
      <c r="C425">
        <v>13803</v>
      </c>
      <c r="D425">
        <v>1.6099887500000001</v>
      </c>
      <c r="E425" s="1" t="s">
        <v>1205</v>
      </c>
      <c r="F425" t="s">
        <v>1702</v>
      </c>
    </row>
    <row r="426" spans="1:6" x14ac:dyDescent="0.3">
      <c r="A426" t="s">
        <v>1703</v>
      </c>
      <c r="B426" t="s">
        <v>1704</v>
      </c>
      <c r="C426">
        <v>100042856</v>
      </c>
      <c r="D426">
        <v>1.60976608333333</v>
      </c>
      <c r="E426">
        <v>1.1630290433858201E-4</v>
      </c>
      <c r="F426" t="s">
        <v>1705</v>
      </c>
    </row>
    <row r="427" spans="1:6" x14ac:dyDescent="0.3">
      <c r="A427" t="s">
        <v>1706</v>
      </c>
      <c r="B427" t="s">
        <v>1707</v>
      </c>
      <c r="C427">
        <v>70358</v>
      </c>
      <c r="D427">
        <v>1.6073525</v>
      </c>
      <c r="E427">
        <v>1.1434097434654001E-3</v>
      </c>
      <c r="F427" t="s">
        <v>1708</v>
      </c>
    </row>
    <row r="428" spans="1:6" x14ac:dyDescent="0.3">
      <c r="A428" t="s">
        <v>1709</v>
      </c>
      <c r="B428" t="s">
        <v>1710</v>
      </c>
      <c r="C428">
        <v>235047</v>
      </c>
      <c r="D428">
        <v>1.6073123333333299</v>
      </c>
      <c r="E428" s="1" t="s">
        <v>1711</v>
      </c>
      <c r="F428" t="s">
        <v>1712</v>
      </c>
    </row>
    <row r="429" spans="1:6" x14ac:dyDescent="0.3">
      <c r="A429" t="s">
        <v>1713</v>
      </c>
      <c r="B429" t="s">
        <v>1714</v>
      </c>
      <c r="C429">
        <v>12721</v>
      </c>
      <c r="D429">
        <v>1.60545933333334</v>
      </c>
      <c r="E429">
        <v>1.4024957884692301E-4</v>
      </c>
      <c r="F429" t="s">
        <v>1715</v>
      </c>
    </row>
    <row r="430" spans="1:6" x14ac:dyDescent="0.3">
      <c r="A430" t="s">
        <v>1716</v>
      </c>
      <c r="B430" t="s">
        <v>1716</v>
      </c>
      <c r="C430" t="s">
        <v>239</v>
      </c>
      <c r="D430">
        <v>1.6054095833333299</v>
      </c>
      <c r="E430">
        <v>3.7077377817217802E-2</v>
      </c>
      <c r="F430" t="s">
        <v>239</v>
      </c>
    </row>
    <row r="431" spans="1:6" x14ac:dyDescent="0.3">
      <c r="A431" t="s">
        <v>1717</v>
      </c>
      <c r="B431" t="s">
        <v>1718</v>
      </c>
      <c r="C431">
        <v>244864</v>
      </c>
      <c r="D431">
        <v>1.6024235</v>
      </c>
      <c r="E431">
        <v>8.0174973075351698E-4</v>
      </c>
      <c r="F431" t="s">
        <v>1719</v>
      </c>
    </row>
    <row r="432" spans="1:6" x14ac:dyDescent="0.3">
      <c r="A432" t="s">
        <v>1720</v>
      </c>
      <c r="B432" t="s">
        <v>1721</v>
      </c>
      <c r="C432">
        <v>214639</v>
      </c>
      <c r="D432">
        <v>1.5994218333333301</v>
      </c>
      <c r="E432">
        <v>5.7455591584449695E-4</v>
      </c>
      <c r="F432" t="s">
        <v>1722</v>
      </c>
    </row>
    <row r="433" spans="1:6" x14ac:dyDescent="0.3">
      <c r="A433" t="s">
        <v>1723</v>
      </c>
      <c r="B433" t="s">
        <v>1724</v>
      </c>
      <c r="C433">
        <v>12010</v>
      </c>
      <c r="D433">
        <v>1.596055</v>
      </c>
      <c r="E433" s="1" t="s">
        <v>1725</v>
      </c>
      <c r="F433" t="s">
        <v>1726</v>
      </c>
    </row>
    <row r="434" spans="1:6" x14ac:dyDescent="0.3">
      <c r="A434" t="s">
        <v>1727</v>
      </c>
      <c r="B434" t="s">
        <v>1728</v>
      </c>
      <c r="C434">
        <v>245945</v>
      </c>
      <c r="D434">
        <v>1.5960095000000001</v>
      </c>
      <c r="E434" s="1" t="s">
        <v>1729</v>
      </c>
      <c r="F434" t="s">
        <v>1730</v>
      </c>
    </row>
    <row r="435" spans="1:6" x14ac:dyDescent="0.3">
      <c r="A435" t="s">
        <v>1731</v>
      </c>
      <c r="B435" t="s">
        <v>1732</v>
      </c>
      <c r="C435">
        <v>236904</v>
      </c>
      <c r="D435">
        <v>1.58708783333333</v>
      </c>
      <c r="E435" s="1" t="s">
        <v>1733</v>
      </c>
      <c r="F435" t="s">
        <v>1734</v>
      </c>
    </row>
    <row r="436" spans="1:6" x14ac:dyDescent="0.3">
      <c r="A436" t="s">
        <v>1735</v>
      </c>
      <c r="B436" t="s">
        <v>1736</v>
      </c>
      <c r="C436">
        <v>214230</v>
      </c>
      <c r="D436">
        <v>1.58561825</v>
      </c>
      <c r="E436">
        <v>3.2762757819470999E-3</v>
      </c>
      <c r="F436" t="s">
        <v>1737</v>
      </c>
    </row>
    <row r="437" spans="1:6" x14ac:dyDescent="0.3">
      <c r="A437" t="s">
        <v>1738</v>
      </c>
      <c r="B437" t="s">
        <v>1739</v>
      </c>
      <c r="C437">
        <v>21934</v>
      </c>
      <c r="D437">
        <v>1.5834253333333299</v>
      </c>
      <c r="E437" s="1" t="s">
        <v>1740</v>
      </c>
      <c r="F437" t="s">
        <v>1741</v>
      </c>
    </row>
    <row r="438" spans="1:6" x14ac:dyDescent="0.3">
      <c r="A438" t="s">
        <v>1742</v>
      </c>
      <c r="B438" t="s">
        <v>1743</v>
      </c>
      <c r="C438">
        <v>12870</v>
      </c>
      <c r="D438">
        <v>1.5815161666666699</v>
      </c>
      <c r="E438" s="1" t="s">
        <v>1437</v>
      </c>
      <c r="F438" t="s">
        <v>1744</v>
      </c>
    </row>
    <row r="439" spans="1:6" x14ac:dyDescent="0.3">
      <c r="A439" t="s">
        <v>1745</v>
      </c>
      <c r="B439" t="s">
        <v>1746</v>
      </c>
      <c r="C439">
        <v>69774</v>
      </c>
      <c r="D439">
        <v>1.5776399999999999</v>
      </c>
      <c r="E439">
        <v>1.2883729649652701E-4</v>
      </c>
      <c r="F439" t="s">
        <v>1747</v>
      </c>
    </row>
    <row r="440" spans="1:6" x14ac:dyDescent="0.3">
      <c r="A440" t="s">
        <v>1748</v>
      </c>
      <c r="B440" t="s">
        <v>1749</v>
      </c>
      <c r="C440">
        <v>226652</v>
      </c>
      <c r="D440">
        <v>1.5751174166666699</v>
      </c>
      <c r="E440">
        <v>3.07082018361637E-4</v>
      </c>
      <c r="F440" t="s">
        <v>1750</v>
      </c>
    </row>
    <row r="441" spans="1:6" x14ac:dyDescent="0.3">
      <c r="A441" t="s">
        <v>1751</v>
      </c>
      <c r="B441" t="s">
        <v>1752</v>
      </c>
      <c r="C441">
        <v>74596</v>
      </c>
      <c r="D441">
        <v>1.57340066666667</v>
      </c>
      <c r="E441" s="1" t="s">
        <v>1753</v>
      </c>
      <c r="F441" t="s">
        <v>1754</v>
      </c>
    </row>
    <row r="442" spans="1:6" x14ac:dyDescent="0.3">
      <c r="A442" t="s">
        <v>1755</v>
      </c>
      <c r="B442" t="s">
        <v>1756</v>
      </c>
      <c r="C442">
        <v>56722</v>
      </c>
      <c r="D442">
        <v>1.5702341666666699</v>
      </c>
      <c r="E442" s="1" t="s">
        <v>1757</v>
      </c>
      <c r="F442" t="s">
        <v>1758</v>
      </c>
    </row>
    <row r="443" spans="1:6" x14ac:dyDescent="0.3">
      <c r="A443" t="s">
        <v>1759</v>
      </c>
      <c r="B443" t="s">
        <v>1760</v>
      </c>
      <c r="C443">
        <v>11898</v>
      </c>
      <c r="D443">
        <v>1.5679205000000001</v>
      </c>
      <c r="E443" s="1" t="s">
        <v>1761</v>
      </c>
      <c r="F443" t="s">
        <v>1762</v>
      </c>
    </row>
    <row r="444" spans="1:6" x14ac:dyDescent="0.3">
      <c r="A444" t="s">
        <v>1763</v>
      </c>
      <c r="B444" t="s">
        <v>1764</v>
      </c>
      <c r="C444">
        <v>54354</v>
      </c>
      <c r="D444">
        <v>1.56717341666667</v>
      </c>
      <c r="E444" s="1" t="s">
        <v>1765</v>
      </c>
      <c r="F444" t="s">
        <v>1766</v>
      </c>
    </row>
    <row r="445" spans="1:6" x14ac:dyDescent="0.3">
      <c r="A445" t="s">
        <v>1767</v>
      </c>
      <c r="B445" t="s">
        <v>1768</v>
      </c>
      <c r="C445">
        <v>11486</v>
      </c>
      <c r="D445">
        <v>1.564956</v>
      </c>
      <c r="E445">
        <v>6.9608930974456697E-3</v>
      </c>
      <c r="F445" t="s">
        <v>1769</v>
      </c>
    </row>
    <row r="446" spans="1:6" x14ac:dyDescent="0.3">
      <c r="A446" t="s">
        <v>1770</v>
      </c>
      <c r="B446" t="s">
        <v>1771</v>
      </c>
      <c r="C446">
        <v>224840</v>
      </c>
      <c r="D446">
        <v>1.56482691666667</v>
      </c>
      <c r="E446" s="1" t="s">
        <v>1772</v>
      </c>
      <c r="F446" t="s">
        <v>1773</v>
      </c>
    </row>
    <row r="447" spans="1:6" x14ac:dyDescent="0.3">
      <c r="A447" t="s">
        <v>1774</v>
      </c>
      <c r="B447" t="s">
        <v>1775</v>
      </c>
      <c r="C447">
        <v>13041</v>
      </c>
      <c r="D447">
        <v>1.5643037500000001</v>
      </c>
      <c r="E447">
        <v>5.0977128880330897E-3</v>
      </c>
      <c r="F447" t="s">
        <v>1776</v>
      </c>
    </row>
    <row r="448" spans="1:6" x14ac:dyDescent="0.3">
      <c r="A448" t="s">
        <v>1777</v>
      </c>
      <c r="B448" t="s">
        <v>1778</v>
      </c>
      <c r="C448">
        <v>67824</v>
      </c>
      <c r="D448">
        <v>1.5636797499999999</v>
      </c>
      <c r="E448" s="1" t="s">
        <v>1779</v>
      </c>
      <c r="F448" t="s">
        <v>1780</v>
      </c>
    </row>
    <row r="449" spans="1:6" x14ac:dyDescent="0.3">
      <c r="A449" t="s">
        <v>1781</v>
      </c>
      <c r="B449" t="s">
        <v>1782</v>
      </c>
      <c r="C449">
        <v>27226</v>
      </c>
      <c r="D449">
        <v>1.55911633333333</v>
      </c>
      <c r="E449">
        <v>6.5301918151199599E-4</v>
      </c>
      <c r="F449" t="s">
        <v>1783</v>
      </c>
    </row>
    <row r="450" spans="1:6" x14ac:dyDescent="0.3">
      <c r="A450" t="s">
        <v>1784</v>
      </c>
      <c r="B450" t="s">
        <v>1785</v>
      </c>
      <c r="C450">
        <v>20684</v>
      </c>
      <c r="D450">
        <v>1.5575653333333299</v>
      </c>
      <c r="E450" s="1" t="s">
        <v>1786</v>
      </c>
      <c r="F450" t="s">
        <v>1787</v>
      </c>
    </row>
    <row r="451" spans="1:6" x14ac:dyDescent="0.3">
      <c r="A451" t="s">
        <v>1788</v>
      </c>
      <c r="B451" t="s">
        <v>1789</v>
      </c>
      <c r="C451">
        <v>16835</v>
      </c>
      <c r="D451">
        <v>1.5561086666666699</v>
      </c>
      <c r="E451" s="1" t="s">
        <v>1790</v>
      </c>
      <c r="F451" t="s">
        <v>1791</v>
      </c>
    </row>
    <row r="452" spans="1:6" x14ac:dyDescent="0.3">
      <c r="A452" t="s">
        <v>44</v>
      </c>
      <c r="B452" t="s">
        <v>43</v>
      </c>
      <c r="C452">
        <v>20305</v>
      </c>
      <c r="D452">
        <v>1.55582816666667</v>
      </c>
      <c r="E452">
        <v>7.0304818900713704E-4</v>
      </c>
      <c r="F452" t="s">
        <v>1792</v>
      </c>
    </row>
    <row r="453" spans="1:6" x14ac:dyDescent="0.3">
      <c r="A453" t="s">
        <v>1793</v>
      </c>
      <c r="B453" t="s">
        <v>1794</v>
      </c>
      <c r="C453">
        <v>17764</v>
      </c>
      <c r="D453">
        <v>1.5555095833333299</v>
      </c>
      <c r="E453">
        <v>7.7830149047456896E-4</v>
      </c>
      <c r="F453" t="s">
        <v>1795</v>
      </c>
    </row>
    <row r="454" spans="1:6" x14ac:dyDescent="0.3">
      <c r="A454" t="s">
        <v>1796</v>
      </c>
      <c r="B454" t="s">
        <v>1797</v>
      </c>
      <c r="C454">
        <v>217303</v>
      </c>
      <c r="D454">
        <v>1.55524483333333</v>
      </c>
      <c r="E454" s="1" t="s">
        <v>1798</v>
      </c>
      <c r="F454" t="s">
        <v>1799</v>
      </c>
    </row>
    <row r="455" spans="1:6" x14ac:dyDescent="0.3">
      <c r="A455" t="s">
        <v>1800</v>
      </c>
      <c r="B455" t="s">
        <v>1801</v>
      </c>
      <c r="C455">
        <v>16188</v>
      </c>
      <c r="D455">
        <v>1.55507041666667</v>
      </c>
      <c r="E455">
        <v>1.45250447993559E-4</v>
      </c>
      <c r="F455" t="s">
        <v>1802</v>
      </c>
    </row>
    <row r="456" spans="1:6" x14ac:dyDescent="0.3">
      <c r="A456" t="s">
        <v>1803</v>
      </c>
      <c r="B456" t="s">
        <v>1804</v>
      </c>
      <c r="C456">
        <v>78781</v>
      </c>
      <c r="D456">
        <v>1.5544406666666699</v>
      </c>
      <c r="E456">
        <v>2.1909182242360701E-4</v>
      </c>
      <c r="F456" t="s">
        <v>1805</v>
      </c>
    </row>
    <row r="457" spans="1:6" x14ac:dyDescent="0.3">
      <c r="A457" t="s">
        <v>1806</v>
      </c>
      <c r="B457" t="s">
        <v>1807</v>
      </c>
      <c r="C457">
        <v>22778</v>
      </c>
      <c r="D457">
        <v>1.5502610833333299</v>
      </c>
      <c r="E457" s="1" t="s">
        <v>1808</v>
      </c>
      <c r="F457" t="s">
        <v>1809</v>
      </c>
    </row>
    <row r="458" spans="1:6" x14ac:dyDescent="0.3">
      <c r="A458" t="s">
        <v>1810</v>
      </c>
      <c r="B458" t="s">
        <v>1811</v>
      </c>
      <c r="C458">
        <v>15163</v>
      </c>
      <c r="D458">
        <v>1.5489443333333299</v>
      </c>
      <c r="E458" s="1" t="s">
        <v>1341</v>
      </c>
      <c r="F458" t="s">
        <v>1812</v>
      </c>
    </row>
    <row r="459" spans="1:6" x14ac:dyDescent="0.3">
      <c r="A459" t="s">
        <v>1813</v>
      </c>
      <c r="B459" t="s">
        <v>1814</v>
      </c>
      <c r="C459">
        <v>22177</v>
      </c>
      <c r="D459">
        <v>1.5478988333333299</v>
      </c>
      <c r="E459">
        <v>5.23392377737399E-4</v>
      </c>
      <c r="F459" t="s">
        <v>1815</v>
      </c>
    </row>
    <row r="460" spans="1:6" x14ac:dyDescent="0.3">
      <c r="A460" t="s">
        <v>1816</v>
      </c>
      <c r="B460" t="s">
        <v>1817</v>
      </c>
      <c r="C460">
        <v>21899</v>
      </c>
      <c r="D460">
        <v>1.5419180833333299</v>
      </c>
      <c r="E460">
        <v>2.4737660099338699E-2</v>
      </c>
      <c r="F460" t="s">
        <v>1818</v>
      </c>
    </row>
    <row r="461" spans="1:6" x14ac:dyDescent="0.3">
      <c r="A461" t="s">
        <v>1819</v>
      </c>
      <c r="B461" t="s">
        <v>1820</v>
      </c>
      <c r="C461">
        <v>16408</v>
      </c>
      <c r="D461">
        <v>1.5409191666666699</v>
      </c>
      <c r="E461" s="1" t="s">
        <v>855</v>
      </c>
      <c r="F461" t="s">
        <v>1821</v>
      </c>
    </row>
    <row r="462" spans="1:6" x14ac:dyDescent="0.3">
      <c r="A462" t="s">
        <v>1822</v>
      </c>
      <c r="B462" t="s">
        <v>1823</v>
      </c>
      <c r="C462">
        <v>66102</v>
      </c>
      <c r="D462">
        <v>1.53794425</v>
      </c>
      <c r="E462" s="1" t="s">
        <v>1050</v>
      </c>
      <c r="F462" t="s">
        <v>1824</v>
      </c>
    </row>
    <row r="463" spans="1:6" x14ac:dyDescent="0.3">
      <c r="A463" t="s">
        <v>1825</v>
      </c>
      <c r="B463" t="s">
        <v>1826</v>
      </c>
      <c r="C463">
        <v>14630</v>
      </c>
      <c r="D463">
        <v>1.5367999999999999</v>
      </c>
      <c r="E463" s="1" t="s">
        <v>788</v>
      </c>
      <c r="F463" t="s">
        <v>1827</v>
      </c>
    </row>
    <row r="464" spans="1:6" x14ac:dyDescent="0.3">
      <c r="A464" t="s">
        <v>1828</v>
      </c>
      <c r="B464" t="s">
        <v>1829</v>
      </c>
      <c r="C464">
        <v>231207</v>
      </c>
      <c r="D464">
        <v>1.5293129166666699</v>
      </c>
      <c r="E464">
        <v>7.9502568591310397E-4</v>
      </c>
      <c r="F464" t="s">
        <v>1830</v>
      </c>
    </row>
    <row r="465" spans="1:6" x14ac:dyDescent="0.3">
      <c r="A465" t="s">
        <v>1831</v>
      </c>
      <c r="B465" t="s">
        <v>1832</v>
      </c>
      <c r="C465">
        <v>17357</v>
      </c>
      <c r="D465">
        <v>1.5289835000000001</v>
      </c>
      <c r="E465" s="1" t="s">
        <v>1833</v>
      </c>
      <c r="F465" t="s">
        <v>1834</v>
      </c>
    </row>
    <row r="466" spans="1:6" x14ac:dyDescent="0.3">
      <c r="A466" t="s">
        <v>1835</v>
      </c>
      <c r="B466" t="s">
        <v>1836</v>
      </c>
      <c r="C466">
        <v>245857</v>
      </c>
      <c r="D466">
        <v>1.52595233333334</v>
      </c>
      <c r="E466" s="1" t="s">
        <v>1837</v>
      </c>
      <c r="F466" t="s">
        <v>1838</v>
      </c>
    </row>
    <row r="467" spans="1:6" x14ac:dyDescent="0.3">
      <c r="A467" t="s">
        <v>1839</v>
      </c>
      <c r="B467" t="s">
        <v>1840</v>
      </c>
      <c r="C467">
        <v>14190</v>
      </c>
      <c r="D467">
        <v>1.5230574166666699</v>
      </c>
      <c r="E467" s="1" t="s">
        <v>1841</v>
      </c>
      <c r="F467" t="s">
        <v>1842</v>
      </c>
    </row>
    <row r="468" spans="1:6" x14ac:dyDescent="0.3">
      <c r="A468" t="s">
        <v>1843</v>
      </c>
      <c r="B468" t="s">
        <v>1844</v>
      </c>
      <c r="C468">
        <v>108903</v>
      </c>
      <c r="D468">
        <v>1.51803516666667</v>
      </c>
      <c r="E468">
        <v>5.9989190028774298E-4</v>
      </c>
      <c r="F468" t="s">
        <v>1845</v>
      </c>
    </row>
    <row r="469" spans="1:6" x14ac:dyDescent="0.3">
      <c r="A469" t="s">
        <v>1846</v>
      </c>
      <c r="B469" t="s">
        <v>1847</v>
      </c>
      <c r="C469">
        <v>14544</v>
      </c>
      <c r="D469">
        <v>1.5164439999999999</v>
      </c>
      <c r="E469" s="1" t="s">
        <v>534</v>
      </c>
      <c r="F469" t="s">
        <v>1848</v>
      </c>
    </row>
    <row r="470" spans="1:6" x14ac:dyDescent="0.3">
      <c r="A470" t="s">
        <v>1849</v>
      </c>
      <c r="B470" t="s">
        <v>1850</v>
      </c>
      <c r="C470">
        <v>73690</v>
      </c>
      <c r="D470">
        <v>1.51309941666667</v>
      </c>
      <c r="E470">
        <v>1.13395169824594E-3</v>
      </c>
      <c r="F470" t="s">
        <v>1851</v>
      </c>
    </row>
    <row r="471" spans="1:6" x14ac:dyDescent="0.3">
      <c r="A471" t="s">
        <v>1852</v>
      </c>
      <c r="B471" t="s">
        <v>1853</v>
      </c>
      <c r="C471">
        <v>20442</v>
      </c>
      <c r="D471">
        <v>1.50421783333334</v>
      </c>
      <c r="E471">
        <v>1.1444949799230299E-3</v>
      </c>
      <c r="F471" t="s">
        <v>1854</v>
      </c>
    </row>
    <row r="472" spans="1:6" x14ac:dyDescent="0.3">
      <c r="A472" t="s">
        <v>1855</v>
      </c>
      <c r="B472" t="s">
        <v>1856</v>
      </c>
      <c r="C472">
        <v>71841</v>
      </c>
      <c r="D472">
        <v>1.50414625</v>
      </c>
      <c r="E472">
        <v>5.2399104712226596E-4</v>
      </c>
      <c r="F472" t="s">
        <v>1857</v>
      </c>
    </row>
    <row r="473" spans="1:6" x14ac:dyDescent="0.3">
      <c r="A473" t="s">
        <v>1858</v>
      </c>
      <c r="B473" t="s">
        <v>1859</v>
      </c>
      <c r="C473">
        <v>12583</v>
      </c>
      <c r="D473">
        <v>1.5041095</v>
      </c>
      <c r="E473">
        <v>4.81784926622933E-2</v>
      </c>
      <c r="F473" t="s">
        <v>1860</v>
      </c>
    </row>
    <row r="474" spans="1:6" x14ac:dyDescent="0.3">
      <c r="A474" t="s">
        <v>1861</v>
      </c>
      <c r="B474" t="s">
        <v>1862</v>
      </c>
      <c r="C474">
        <v>20652</v>
      </c>
      <c r="D474">
        <v>1.5038542500000001</v>
      </c>
      <c r="E474">
        <v>1.14689755537832E-3</v>
      </c>
      <c r="F474" t="s">
        <v>1863</v>
      </c>
    </row>
    <row r="475" spans="1:6" x14ac:dyDescent="0.3">
      <c r="A475" t="s">
        <v>1864</v>
      </c>
      <c r="B475" t="s">
        <v>1865</v>
      </c>
      <c r="C475">
        <v>93732</v>
      </c>
      <c r="D475">
        <v>1.503573</v>
      </c>
      <c r="E475">
        <v>1.17085908469643E-3</v>
      </c>
      <c r="F475" t="s">
        <v>1866</v>
      </c>
    </row>
    <row r="476" spans="1:6" x14ac:dyDescent="0.3">
      <c r="A476" t="s">
        <v>1867</v>
      </c>
      <c r="B476" t="s">
        <v>1868</v>
      </c>
      <c r="C476">
        <v>100121</v>
      </c>
      <c r="D476">
        <v>1.5030997500000001</v>
      </c>
      <c r="E476" s="1" t="s">
        <v>1869</v>
      </c>
      <c r="F476" t="s">
        <v>1870</v>
      </c>
    </row>
    <row r="477" spans="1:6" x14ac:dyDescent="0.3">
      <c r="A477" t="s">
        <v>1871</v>
      </c>
      <c r="B477" t="s">
        <v>1872</v>
      </c>
      <c r="C477" t="s">
        <v>239</v>
      </c>
      <c r="D477">
        <v>1.5029236666666701</v>
      </c>
      <c r="E477">
        <v>1.3821192114216901E-4</v>
      </c>
      <c r="F477" t="s">
        <v>1873</v>
      </c>
    </row>
    <row r="478" spans="1:6" x14ac:dyDescent="0.3">
      <c r="A478" t="s">
        <v>1874</v>
      </c>
      <c r="B478" t="s">
        <v>1875</v>
      </c>
      <c r="C478">
        <v>16414</v>
      </c>
      <c r="D478">
        <v>1.5020388333333301</v>
      </c>
      <c r="E478" s="1" t="s">
        <v>1876</v>
      </c>
      <c r="F478" t="s">
        <v>1877</v>
      </c>
    </row>
    <row r="479" spans="1:6" x14ac:dyDescent="0.3">
      <c r="A479" t="s">
        <v>1878</v>
      </c>
      <c r="B479" t="s">
        <v>1879</v>
      </c>
      <c r="C479">
        <v>78388</v>
      </c>
      <c r="D479">
        <v>1.49901533333333</v>
      </c>
      <c r="E479" s="1" t="s">
        <v>1880</v>
      </c>
      <c r="F479" t="s">
        <v>1881</v>
      </c>
    </row>
    <row r="480" spans="1:6" x14ac:dyDescent="0.3">
      <c r="A480" t="s">
        <v>1882</v>
      </c>
      <c r="B480" t="s">
        <v>1883</v>
      </c>
      <c r="C480">
        <v>17387</v>
      </c>
      <c r="D480">
        <v>1.4908047499999999</v>
      </c>
      <c r="E480">
        <v>8.0967934751027999E-4</v>
      </c>
      <c r="F480" t="s">
        <v>1884</v>
      </c>
    </row>
    <row r="481" spans="1:6" x14ac:dyDescent="0.3">
      <c r="A481" t="s">
        <v>1885</v>
      </c>
      <c r="B481" t="s">
        <v>1886</v>
      </c>
      <c r="C481">
        <v>13056</v>
      </c>
      <c r="D481">
        <v>1.4831681666666701</v>
      </c>
      <c r="E481" s="1" t="s">
        <v>1887</v>
      </c>
      <c r="F481" t="s">
        <v>1888</v>
      </c>
    </row>
    <row r="482" spans="1:6" x14ac:dyDescent="0.3">
      <c r="A482" t="s">
        <v>1889</v>
      </c>
      <c r="B482" t="s">
        <v>1890</v>
      </c>
      <c r="C482">
        <v>381201</v>
      </c>
      <c r="D482">
        <v>1.4800390833333299</v>
      </c>
      <c r="E482">
        <v>1.848555927433E-3</v>
      </c>
      <c r="F482" t="s">
        <v>1891</v>
      </c>
    </row>
    <row r="483" spans="1:6" x14ac:dyDescent="0.3">
      <c r="A483" t="s">
        <v>1892</v>
      </c>
      <c r="B483" t="s">
        <v>1893</v>
      </c>
      <c r="C483">
        <v>50498</v>
      </c>
      <c r="D483">
        <v>1.4793659166666699</v>
      </c>
      <c r="E483">
        <v>3.7179263490910198E-4</v>
      </c>
      <c r="F483" t="s">
        <v>1894</v>
      </c>
    </row>
    <row r="484" spans="1:6" x14ac:dyDescent="0.3">
      <c r="A484" t="s">
        <v>1895</v>
      </c>
      <c r="B484" t="s">
        <v>1896</v>
      </c>
      <c r="C484">
        <v>12258</v>
      </c>
      <c r="D484">
        <v>1.47552333333333</v>
      </c>
      <c r="E484" s="1" t="s">
        <v>1897</v>
      </c>
      <c r="F484" t="s">
        <v>1898</v>
      </c>
    </row>
    <row r="485" spans="1:6" x14ac:dyDescent="0.3">
      <c r="A485" t="s">
        <v>1899</v>
      </c>
      <c r="B485" t="s">
        <v>1899</v>
      </c>
      <c r="C485" t="s">
        <v>239</v>
      </c>
      <c r="D485">
        <v>1.47335658333333</v>
      </c>
      <c r="E485">
        <v>6.9734113694932803E-3</v>
      </c>
      <c r="F485" t="s">
        <v>239</v>
      </c>
    </row>
    <row r="486" spans="1:6" x14ac:dyDescent="0.3">
      <c r="A486" t="s">
        <v>1900</v>
      </c>
      <c r="B486" t="s">
        <v>1901</v>
      </c>
      <c r="C486">
        <v>18626</v>
      </c>
      <c r="D486">
        <v>1.47218625000001</v>
      </c>
      <c r="E486">
        <v>2.01371527803947E-3</v>
      </c>
      <c r="F486" t="s">
        <v>1902</v>
      </c>
    </row>
    <row r="487" spans="1:6" x14ac:dyDescent="0.3">
      <c r="A487" t="s">
        <v>1903</v>
      </c>
      <c r="B487" t="s">
        <v>1904</v>
      </c>
      <c r="C487">
        <v>382062</v>
      </c>
      <c r="D487">
        <v>1.4698059166666699</v>
      </c>
      <c r="E487">
        <v>2.1879683972847599E-4</v>
      </c>
      <c r="F487" t="s">
        <v>1905</v>
      </c>
    </row>
    <row r="488" spans="1:6" x14ac:dyDescent="0.3">
      <c r="A488" t="s">
        <v>1906</v>
      </c>
      <c r="B488" t="s">
        <v>1907</v>
      </c>
      <c r="C488">
        <v>12362</v>
      </c>
      <c r="D488">
        <v>1.4692765833333301</v>
      </c>
      <c r="E488" s="1" t="s">
        <v>1908</v>
      </c>
      <c r="F488" t="s">
        <v>1909</v>
      </c>
    </row>
    <row r="489" spans="1:6" x14ac:dyDescent="0.3">
      <c r="A489" t="s">
        <v>1910</v>
      </c>
      <c r="B489" t="s">
        <v>1911</v>
      </c>
      <c r="C489">
        <v>75316</v>
      </c>
      <c r="D489">
        <v>1.46845925</v>
      </c>
      <c r="E489" s="1" t="s">
        <v>678</v>
      </c>
      <c r="F489" t="s">
        <v>1912</v>
      </c>
    </row>
    <row r="490" spans="1:6" x14ac:dyDescent="0.3">
      <c r="A490" t="s">
        <v>1913</v>
      </c>
      <c r="B490" t="s">
        <v>1914</v>
      </c>
      <c r="C490">
        <v>218877</v>
      </c>
      <c r="D490">
        <v>1.4684298333333301</v>
      </c>
      <c r="E490" s="1" t="s">
        <v>1437</v>
      </c>
      <c r="F490" t="s">
        <v>1915</v>
      </c>
    </row>
    <row r="491" spans="1:6" x14ac:dyDescent="0.3">
      <c r="A491" t="s">
        <v>1916</v>
      </c>
      <c r="B491" t="s">
        <v>1917</v>
      </c>
      <c r="C491">
        <v>56417</v>
      </c>
      <c r="D491">
        <v>1.46718375</v>
      </c>
      <c r="E491" s="1" t="s">
        <v>1918</v>
      </c>
      <c r="F491" t="s">
        <v>1919</v>
      </c>
    </row>
    <row r="492" spans="1:6" x14ac:dyDescent="0.3">
      <c r="A492" t="s">
        <v>1920</v>
      </c>
      <c r="B492" t="s">
        <v>1921</v>
      </c>
      <c r="C492">
        <v>51795</v>
      </c>
      <c r="D492">
        <v>1.46640341666667</v>
      </c>
      <c r="E492">
        <v>1.34411240238666E-3</v>
      </c>
      <c r="F492" t="s">
        <v>1922</v>
      </c>
    </row>
    <row r="493" spans="1:6" x14ac:dyDescent="0.3">
      <c r="A493" t="s">
        <v>168</v>
      </c>
      <c r="B493" t="s">
        <v>167</v>
      </c>
      <c r="C493">
        <v>20310</v>
      </c>
      <c r="D493">
        <v>1.465616</v>
      </c>
      <c r="E493">
        <v>3.3840677797235901E-3</v>
      </c>
      <c r="F493" t="s">
        <v>1923</v>
      </c>
    </row>
    <row r="494" spans="1:6" x14ac:dyDescent="0.3">
      <c r="A494" t="s">
        <v>1924</v>
      </c>
      <c r="B494" t="s">
        <v>1925</v>
      </c>
      <c r="C494">
        <v>230784</v>
      </c>
      <c r="D494">
        <v>1.46539808333333</v>
      </c>
      <c r="E494" s="1" t="s">
        <v>1926</v>
      </c>
      <c r="F494" t="s">
        <v>1927</v>
      </c>
    </row>
    <row r="495" spans="1:6" x14ac:dyDescent="0.3">
      <c r="A495" t="s">
        <v>1928</v>
      </c>
      <c r="B495" t="s">
        <v>1929</v>
      </c>
      <c r="C495">
        <v>66058</v>
      </c>
      <c r="D495">
        <v>1.4639865833333401</v>
      </c>
      <c r="E495">
        <v>2.21122931164331E-4</v>
      </c>
      <c r="F495" t="s">
        <v>1930</v>
      </c>
    </row>
    <row r="496" spans="1:6" x14ac:dyDescent="0.3">
      <c r="A496" t="s">
        <v>1931</v>
      </c>
      <c r="B496" t="s">
        <v>1932</v>
      </c>
      <c r="C496">
        <v>70640</v>
      </c>
      <c r="D496">
        <v>1.4633745</v>
      </c>
      <c r="E496" s="1" t="s">
        <v>1933</v>
      </c>
      <c r="F496" t="s">
        <v>1934</v>
      </c>
    </row>
    <row r="497" spans="1:6" x14ac:dyDescent="0.3">
      <c r="A497" t="s">
        <v>1935</v>
      </c>
      <c r="B497" t="s">
        <v>1936</v>
      </c>
      <c r="C497">
        <v>56615</v>
      </c>
      <c r="D497">
        <v>1.4633019166666701</v>
      </c>
      <c r="E497">
        <v>3.88676883007233E-4</v>
      </c>
      <c r="F497" t="s">
        <v>1937</v>
      </c>
    </row>
    <row r="498" spans="1:6" x14ac:dyDescent="0.3">
      <c r="A498" t="s">
        <v>1938</v>
      </c>
      <c r="B498" t="s">
        <v>1939</v>
      </c>
      <c r="C498">
        <v>20753</v>
      </c>
      <c r="D498">
        <v>1.4620744999999999</v>
      </c>
      <c r="E498">
        <v>8.5612377047810501E-4</v>
      </c>
      <c r="F498" t="s">
        <v>1940</v>
      </c>
    </row>
    <row r="499" spans="1:6" x14ac:dyDescent="0.3">
      <c r="A499" t="s">
        <v>1941</v>
      </c>
      <c r="B499" t="s">
        <v>1942</v>
      </c>
      <c r="C499">
        <v>320878</v>
      </c>
      <c r="D499">
        <v>1.45914733333333</v>
      </c>
      <c r="E499">
        <v>1.2262684357874301E-2</v>
      </c>
      <c r="F499" t="s">
        <v>1943</v>
      </c>
    </row>
    <row r="500" spans="1:6" x14ac:dyDescent="0.3">
      <c r="A500" t="s">
        <v>1944</v>
      </c>
      <c r="B500" t="s">
        <v>1945</v>
      </c>
      <c r="C500" t="s">
        <v>239</v>
      </c>
      <c r="D500">
        <v>1.4579202499999999</v>
      </c>
      <c r="E500" s="1" t="s">
        <v>1946</v>
      </c>
      <c r="F500" t="s">
        <v>1947</v>
      </c>
    </row>
    <row r="501" spans="1:6" x14ac:dyDescent="0.3">
      <c r="A501" t="s">
        <v>1948</v>
      </c>
      <c r="B501" t="s">
        <v>1949</v>
      </c>
      <c r="C501">
        <v>59095</v>
      </c>
      <c r="D501">
        <v>1.4556816666666701</v>
      </c>
      <c r="E501" s="1" t="s">
        <v>1950</v>
      </c>
      <c r="F501" t="s">
        <v>1951</v>
      </c>
    </row>
    <row r="502" spans="1:6" x14ac:dyDescent="0.3">
      <c r="A502" t="s">
        <v>1952</v>
      </c>
      <c r="B502" t="s">
        <v>1953</v>
      </c>
      <c r="C502">
        <v>16402</v>
      </c>
      <c r="D502">
        <v>1.45373825</v>
      </c>
      <c r="E502">
        <v>1.75565666906978E-4</v>
      </c>
      <c r="F502" t="s">
        <v>1954</v>
      </c>
    </row>
    <row r="503" spans="1:6" x14ac:dyDescent="0.3">
      <c r="A503" t="s">
        <v>1955</v>
      </c>
      <c r="B503" t="s">
        <v>1956</v>
      </c>
      <c r="C503">
        <v>11992</v>
      </c>
      <c r="D503">
        <v>1.4528375</v>
      </c>
      <c r="E503">
        <v>1.0793521740430801E-3</v>
      </c>
      <c r="F503" t="s">
        <v>1957</v>
      </c>
    </row>
    <row r="504" spans="1:6" x14ac:dyDescent="0.3">
      <c r="A504" t="s">
        <v>1958</v>
      </c>
      <c r="B504" t="s">
        <v>1959</v>
      </c>
      <c r="C504">
        <v>68585</v>
      </c>
      <c r="D504">
        <v>1.45059908333333</v>
      </c>
      <c r="E504">
        <v>2.3016916741547299E-4</v>
      </c>
      <c r="F504" t="s">
        <v>1960</v>
      </c>
    </row>
    <row r="505" spans="1:6" x14ac:dyDescent="0.3">
      <c r="A505" t="s">
        <v>1961</v>
      </c>
      <c r="B505" t="s">
        <v>1962</v>
      </c>
      <c r="C505">
        <v>218630</v>
      </c>
      <c r="D505">
        <v>1.4490482499999999</v>
      </c>
      <c r="E505">
        <v>1.64437620191765E-3</v>
      </c>
      <c r="F505" t="s">
        <v>1963</v>
      </c>
    </row>
    <row r="506" spans="1:6" x14ac:dyDescent="0.3">
      <c r="A506" t="s">
        <v>1964</v>
      </c>
      <c r="B506" t="s">
        <v>1965</v>
      </c>
      <c r="C506">
        <v>233079</v>
      </c>
      <c r="D506">
        <v>1.44888325</v>
      </c>
      <c r="E506">
        <v>1.8687086409051101E-2</v>
      </c>
      <c r="F506" t="s">
        <v>1966</v>
      </c>
    </row>
    <row r="507" spans="1:6" x14ac:dyDescent="0.3">
      <c r="A507" t="s">
        <v>1967</v>
      </c>
      <c r="B507" t="s">
        <v>1968</v>
      </c>
      <c r="C507">
        <v>72515</v>
      </c>
      <c r="D507">
        <v>1.4461455000000001</v>
      </c>
      <c r="E507" s="1" t="s">
        <v>1969</v>
      </c>
      <c r="F507" t="s">
        <v>1970</v>
      </c>
    </row>
    <row r="508" spans="1:6" x14ac:dyDescent="0.3">
      <c r="A508" t="s">
        <v>1971</v>
      </c>
      <c r="B508" t="s">
        <v>1972</v>
      </c>
      <c r="C508">
        <v>20728</v>
      </c>
      <c r="D508">
        <v>1.44466908333333</v>
      </c>
      <c r="E508" s="1" t="s">
        <v>1973</v>
      </c>
      <c r="F508" t="s">
        <v>1974</v>
      </c>
    </row>
    <row r="509" spans="1:6" x14ac:dyDescent="0.3">
      <c r="A509" t="s">
        <v>1975</v>
      </c>
      <c r="B509" t="s">
        <v>1976</v>
      </c>
      <c r="C509">
        <v>67855</v>
      </c>
      <c r="D509">
        <v>1.4423225</v>
      </c>
      <c r="E509">
        <v>3.9640064748051396E-3</v>
      </c>
      <c r="F509" t="s">
        <v>1977</v>
      </c>
    </row>
    <row r="510" spans="1:6" x14ac:dyDescent="0.3">
      <c r="A510" t="s">
        <v>1978</v>
      </c>
      <c r="B510" t="s">
        <v>1979</v>
      </c>
      <c r="C510">
        <v>18826</v>
      </c>
      <c r="D510">
        <v>1.4382930833333301</v>
      </c>
      <c r="E510">
        <v>5.1645593772460595E-4</v>
      </c>
      <c r="F510" t="s">
        <v>1980</v>
      </c>
    </row>
    <row r="511" spans="1:6" x14ac:dyDescent="0.3">
      <c r="A511" t="s">
        <v>1981</v>
      </c>
      <c r="B511" t="s">
        <v>1982</v>
      </c>
      <c r="C511">
        <v>224088</v>
      </c>
      <c r="D511">
        <v>1.4363122500000001</v>
      </c>
      <c r="E511">
        <v>2.90598387201908E-4</v>
      </c>
      <c r="F511" t="s">
        <v>1983</v>
      </c>
    </row>
    <row r="512" spans="1:6" x14ac:dyDescent="0.3">
      <c r="A512" t="s">
        <v>1984</v>
      </c>
      <c r="B512" t="s">
        <v>1985</v>
      </c>
      <c r="C512">
        <v>234683</v>
      </c>
      <c r="D512">
        <v>1.4359682499999999</v>
      </c>
      <c r="E512">
        <v>1.8107247101646899E-2</v>
      </c>
      <c r="F512" t="s">
        <v>1986</v>
      </c>
    </row>
    <row r="513" spans="1:6" x14ac:dyDescent="0.3">
      <c r="A513" t="s">
        <v>1987</v>
      </c>
      <c r="B513" t="s">
        <v>1988</v>
      </c>
      <c r="C513">
        <v>64176</v>
      </c>
      <c r="D513">
        <v>1.4354735000000001</v>
      </c>
      <c r="E513">
        <v>6.6763515246835801E-3</v>
      </c>
      <c r="F513" t="s">
        <v>1989</v>
      </c>
    </row>
    <row r="514" spans="1:6" x14ac:dyDescent="0.3">
      <c r="A514" t="s">
        <v>1990</v>
      </c>
      <c r="B514" t="s">
        <v>1991</v>
      </c>
      <c r="C514">
        <v>170460</v>
      </c>
      <c r="D514">
        <v>1.4323159166666699</v>
      </c>
      <c r="E514" s="1" t="s">
        <v>1992</v>
      </c>
      <c r="F514" t="s">
        <v>1993</v>
      </c>
    </row>
    <row r="515" spans="1:6" x14ac:dyDescent="0.3">
      <c r="A515" t="s">
        <v>1994</v>
      </c>
      <c r="B515" t="s">
        <v>1995</v>
      </c>
      <c r="C515">
        <v>18636</v>
      </c>
      <c r="D515">
        <v>1.43226575</v>
      </c>
      <c r="E515">
        <v>2.7177125728068399E-3</v>
      </c>
      <c r="F515" t="s">
        <v>1996</v>
      </c>
    </row>
    <row r="516" spans="1:6" x14ac:dyDescent="0.3">
      <c r="A516" t="s">
        <v>1997</v>
      </c>
      <c r="B516" t="s">
        <v>1998</v>
      </c>
      <c r="C516">
        <v>12519</v>
      </c>
      <c r="D516">
        <v>1.4308935833333301</v>
      </c>
      <c r="E516" s="1" t="s">
        <v>1999</v>
      </c>
      <c r="F516" t="s">
        <v>2000</v>
      </c>
    </row>
    <row r="517" spans="1:6" x14ac:dyDescent="0.3">
      <c r="A517" t="s">
        <v>2001</v>
      </c>
      <c r="B517" t="s">
        <v>2002</v>
      </c>
      <c r="C517">
        <v>99526</v>
      </c>
      <c r="D517">
        <v>1.4298757499999999</v>
      </c>
      <c r="E517">
        <v>3.5529809150993998E-2</v>
      </c>
      <c r="F517" t="s">
        <v>2003</v>
      </c>
    </row>
    <row r="518" spans="1:6" x14ac:dyDescent="0.3">
      <c r="A518" t="s">
        <v>2004</v>
      </c>
      <c r="B518" t="s">
        <v>2005</v>
      </c>
      <c r="C518">
        <v>57751</v>
      </c>
      <c r="D518">
        <v>1.4276421666666701</v>
      </c>
      <c r="E518" s="1" t="s">
        <v>2006</v>
      </c>
      <c r="F518" t="s">
        <v>2007</v>
      </c>
    </row>
    <row r="519" spans="1:6" x14ac:dyDescent="0.3">
      <c r="A519" t="s">
        <v>2008</v>
      </c>
      <c r="B519" t="s">
        <v>2009</v>
      </c>
      <c r="C519">
        <v>27261</v>
      </c>
      <c r="D519">
        <v>1.4273977499999999</v>
      </c>
      <c r="E519">
        <v>4.97097119145807E-2</v>
      </c>
      <c r="F519" t="s">
        <v>2010</v>
      </c>
    </row>
    <row r="520" spans="1:6" x14ac:dyDescent="0.3">
      <c r="A520" t="s">
        <v>2011</v>
      </c>
      <c r="B520" t="s">
        <v>2012</v>
      </c>
      <c r="C520">
        <v>27428</v>
      </c>
      <c r="D520">
        <v>1.4229784999999999</v>
      </c>
      <c r="E520" s="1" t="s">
        <v>2013</v>
      </c>
      <c r="F520" t="s">
        <v>2014</v>
      </c>
    </row>
    <row r="521" spans="1:6" x14ac:dyDescent="0.3">
      <c r="A521" t="s">
        <v>2015</v>
      </c>
      <c r="B521" t="s">
        <v>2016</v>
      </c>
      <c r="C521">
        <v>74131</v>
      </c>
      <c r="D521">
        <v>1.42257841666667</v>
      </c>
      <c r="E521">
        <v>4.9542346022057399E-2</v>
      </c>
      <c r="F521" t="s">
        <v>2017</v>
      </c>
    </row>
    <row r="522" spans="1:6" x14ac:dyDescent="0.3">
      <c r="A522" t="s">
        <v>2018</v>
      </c>
      <c r="B522" t="s">
        <v>2019</v>
      </c>
      <c r="C522">
        <v>14570</v>
      </c>
      <c r="D522">
        <v>1.4193358333333299</v>
      </c>
      <c r="E522">
        <v>1.20454244658293E-4</v>
      </c>
      <c r="F522" t="s">
        <v>2020</v>
      </c>
    </row>
    <row r="523" spans="1:6" x14ac:dyDescent="0.3">
      <c r="A523" t="s">
        <v>2021</v>
      </c>
      <c r="B523" t="s">
        <v>2022</v>
      </c>
      <c r="C523">
        <v>56312</v>
      </c>
      <c r="D523">
        <v>1.41791608333333</v>
      </c>
      <c r="E523" s="1" t="s">
        <v>2023</v>
      </c>
      <c r="F523" t="s">
        <v>2024</v>
      </c>
    </row>
    <row r="524" spans="1:6" x14ac:dyDescent="0.3">
      <c r="A524" t="s">
        <v>2025</v>
      </c>
      <c r="B524" t="s">
        <v>2026</v>
      </c>
      <c r="C524">
        <v>212032</v>
      </c>
      <c r="D524">
        <v>1.4150342499999999</v>
      </c>
      <c r="E524">
        <v>8.6046602870330205E-4</v>
      </c>
      <c r="F524" t="s">
        <v>2027</v>
      </c>
    </row>
    <row r="525" spans="1:6" x14ac:dyDescent="0.3">
      <c r="A525" t="s">
        <v>2028</v>
      </c>
      <c r="B525" t="s">
        <v>2029</v>
      </c>
      <c r="C525">
        <v>18791</v>
      </c>
      <c r="D525">
        <v>1.4129404999999999</v>
      </c>
      <c r="E525" s="1" t="s">
        <v>2030</v>
      </c>
      <c r="F525" t="s">
        <v>2031</v>
      </c>
    </row>
    <row r="526" spans="1:6" x14ac:dyDescent="0.3">
      <c r="A526" t="s">
        <v>2032</v>
      </c>
      <c r="B526" t="s">
        <v>2033</v>
      </c>
      <c r="C526">
        <v>11761</v>
      </c>
      <c r="D526">
        <v>1.41252958333333</v>
      </c>
      <c r="E526" s="1" t="s">
        <v>1035</v>
      </c>
      <c r="F526" t="s">
        <v>2034</v>
      </c>
    </row>
    <row r="527" spans="1:6" x14ac:dyDescent="0.3">
      <c r="A527" t="s">
        <v>2035</v>
      </c>
      <c r="B527" t="s">
        <v>2036</v>
      </c>
      <c r="C527">
        <v>320712</v>
      </c>
      <c r="D527">
        <v>1.41232016666667</v>
      </c>
      <c r="E527">
        <v>2.9737024083366798E-4</v>
      </c>
      <c r="F527" t="s">
        <v>2037</v>
      </c>
    </row>
    <row r="528" spans="1:6" x14ac:dyDescent="0.3">
      <c r="A528" t="s">
        <v>2038</v>
      </c>
      <c r="B528" t="s">
        <v>2039</v>
      </c>
      <c r="C528">
        <v>216869</v>
      </c>
      <c r="D528">
        <v>1.41225008333333</v>
      </c>
      <c r="E528" s="1" t="s">
        <v>2040</v>
      </c>
      <c r="F528" t="s">
        <v>2041</v>
      </c>
    </row>
    <row r="529" spans="1:6" x14ac:dyDescent="0.3">
      <c r="A529" t="s">
        <v>110</v>
      </c>
      <c r="B529" t="s">
        <v>109</v>
      </c>
      <c r="C529">
        <v>16186</v>
      </c>
      <c r="D529">
        <v>1.4111149999999999</v>
      </c>
      <c r="E529">
        <v>2.28059849219856E-4</v>
      </c>
      <c r="F529" t="s">
        <v>2042</v>
      </c>
    </row>
    <row r="530" spans="1:6" x14ac:dyDescent="0.3">
      <c r="A530" t="s">
        <v>2043</v>
      </c>
      <c r="B530" t="s">
        <v>2044</v>
      </c>
      <c r="C530">
        <v>170733</v>
      </c>
      <c r="D530">
        <v>1.4101839166666701</v>
      </c>
      <c r="E530">
        <v>8.5144614876004904E-3</v>
      </c>
      <c r="F530" t="s">
        <v>2045</v>
      </c>
    </row>
    <row r="531" spans="1:6" x14ac:dyDescent="0.3">
      <c r="A531" t="s">
        <v>2046</v>
      </c>
      <c r="B531" t="s">
        <v>2046</v>
      </c>
      <c r="C531" t="s">
        <v>239</v>
      </c>
      <c r="D531">
        <v>1.4069177500000001</v>
      </c>
      <c r="E531">
        <v>3.7449770117568598E-4</v>
      </c>
      <c r="F531" t="s">
        <v>239</v>
      </c>
    </row>
    <row r="532" spans="1:6" x14ac:dyDescent="0.3">
      <c r="A532" t="s">
        <v>2047</v>
      </c>
      <c r="B532" t="s">
        <v>2048</v>
      </c>
      <c r="C532">
        <v>26879</v>
      </c>
      <c r="D532">
        <v>1.4061170000000001</v>
      </c>
      <c r="E532" s="1" t="s">
        <v>2049</v>
      </c>
      <c r="F532" t="s">
        <v>2050</v>
      </c>
    </row>
    <row r="533" spans="1:6" x14ac:dyDescent="0.3">
      <c r="A533" t="s">
        <v>2051</v>
      </c>
      <c r="B533" t="s">
        <v>2052</v>
      </c>
      <c r="C533">
        <v>22038</v>
      </c>
      <c r="D533">
        <v>1.4058185833333301</v>
      </c>
      <c r="E533" s="1" t="s">
        <v>2053</v>
      </c>
      <c r="F533" t="s">
        <v>2054</v>
      </c>
    </row>
    <row r="534" spans="1:6" x14ac:dyDescent="0.3">
      <c r="A534" t="s">
        <v>2055</v>
      </c>
      <c r="B534" t="s">
        <v>2056</v>
      </c>
      <c r="C534">
        <v>207686</v>
      </c>
      <c r="D534">
        <v>1.4024164166666699</v>
      </c>
      <c r="E534">
        <v>2.5561304475442199E-2</v>
      </c>
      <c r="F534" t="s">
        <v>2057</v>
      </c>
    </row>
    <row r="535" spans="1:6" x14ac:dyDescent="0.3">
      <c r="A535" t="s">
        <v>2058</v>
      </c>
      <c r="B535" t="s">
        <v>2059</v>
      </c>
      <c r="C535">
        <v>100034251</v>
      </c>
      <c r="D535">
        <v>1.39975433333333</v>
      </c>
      <c r="E535">
        <v>1.2634772269538501E-3</v>
      </c>
      <c r="F535" t="s">
        <v>2060</v>
      </c>
    </row>
    <row r="536" spans="1:6" x14ac:dyDescent="0.3">
      <c r="A536" t="s">
        <v>2061</v>
      </c>
      <c r="B536" t="s">
        <v>2062</v>
      </c>
      <c r="C536">
        <v>13163</v>
      </c>
      <c r="D536">
        <v>1.39970541666667</v>
      </c>
      <c r="E536" s="1" t="s">
        <v>2063</v>
      </c>
      <c r="F536" t="s">
        <v>2064</v>
      </c>
    </row>
    <row r="537" spans="1:6" x14ac:dyDescent="0.3">
      <c r="A537" t="s">
        <v>2065</v>
      </c>
      <c r="B537" t="s">
        <v>2066</v>
      </c>
      <c r="C537">
        <v>449000</v>
      </c>
      <c r="D537">
        <v>1.3987445833333401</v>
      </c>
      <c r="E537">
        <v>2.6999805486763E-2</v>
      </c>
      <c r="F537" t="s">
        <v>2067</v>
      </c>
    </row>
    <row r="538" spans="1:6" x14ac:dyDescent="0.3">
      <c r="A538" t="s">
        <v>2068</v>
      </c>
      <c r="B538" t="s">
        <v>2069</v>
      </c>
      <c r="C538">
        <v>71712</v>
      </c>
      <c r="D538">
        <v>1.39539883333333</v>
      </c>
      <c r="E538" s="1" t="s">
        <v>2070</v>
      </c>
      <c r="F538" t="s">
        <v>2071</v>
      </c>
    </row>
    <row r="539" spans="1:6" x14ac:dyDescent="0.3">
      <c r="A539" t="s">
        <v>2072</v>
      </c>
      <c r="B539" t="s">
        <v>2073</v>
      </c>
      <c r="C539">
        <v>19698</v>
      </c>
      <c r="D539">
        <v>1.3916470833333301</v>
      </c>
      <c r="E539" s="1" t="s">
        <v>2074</v>
      </c>
      <c r="F539" t="s">
        <v>2075</v>
      </c>
    </row>
    <row r="540" spans="1:6" x14ac:dyDescent="0.3">
      <c r="A540" t="s">
        <v>2076</v>
      </c>
      <c r="B540" t="s">
        <v>2077</v>
      </c>
      <c r="C540">
        <v>384009</v>
      </c>
      <c r="D540">
        <v>1.3916215833333301</v>
      </c>
      <c r="E540">
        <v>2.29659033386331E-4</v>
      </c>
      <c r="F540" t="s">
        <v>2078</v>
      </c>
    </row>
    <row r="541" spans="1:6" x14ac:dyDescent="0.3">
      <c r="A541" t="s">
        <v>2079</v>
      </c>
      <c r="B541" t="s">
        <v>2080</v>
      </c>
      <c r="C541">
        <v>12229</v>
      </c>
      <c r="D541">
        <v>1.3902252500000001</v>
      </c>
      <c r="E541">
        <v>1.5086242263392701E-3</v>
      </c>
      <c r="F541" t="s">
        <v>2081</v>
      </c>
    </row>
    <row r="542" spans="1:6" x14ac:dyDescent="0.3">
      <c r="A542" t="s">
        <v>2082</v>
      </c>
      <c r="B542" t="s">
        <v>2083</v>
      </c>
      <c r="C542">
        <v>27273</v>
      </c>
      <c r="D542">
        <v>1.3898666666666699</v>
      </c>
      <c r="E542">
        <v>5.5411221917197001E-4</v>
      </c>
      <c r="F542" t="s">
        <v>2084</v>
      </c>
    </row>
    <row r="543" spans="1:6" x14ac:dyDescent="0.3">
      <c r="A543" t="s">
        <v>2085</v>
      </c>
      <c r="B543" t="s">
        <v>2086</v>
      </c>
      <c r="C543">
        <v>108100</v>
      </c>
      <c r="D543">
        <v>1.3894928333333301</v>
      </c>
      <c r="E543">
        <v>1.17433842389733E-4</v>
      </c>
      <c r="F543" t="s">
        <v>2087</v>
      </c>
    </row>
    <row r="544" spans="1:6" x14ac:dyDescent="0.3">
      <c r="A544" t="s">
        <v>2088</v>
      </c>
      <c r="B544" t="s">
        <v>2089</v>
      </c>
      <c r="C544">
        <v>233979</v>
      </c>
      <c r="D544">
        <v>1.38559541666667</v>
      </c>
      <c r="E544">
        <v>2.6096241858729699E-4</v>
      </c>
      <c r="F544" t="s">
        <v>2090</v>
      </c>
    </row>
    <row r="545" spans="1:6" x14ac:dyDescent="0.3">
      <c r="A545" t="s">
        <v>2091</v>
      </c>
      <c r="B545" t="s">
        <v>2092</v>
      </c>
      <c r="C545">
        <v>211228</v>
      </c>
      <c r="D545">
        <v>1.38300175</v>
      </c>
      <c r="E545" s="1" t="s">
        <v>2093</v>
      </c>
      <c r="F545" t="s">
        <v>2094</v>
      </c>
    </row>
    <row r="546" spans="1:6" x14ac:dyDescent="0.3">
      <c r="A546" t="s">
        <v>2095</v>
      </c>
      <c r="B546" t="s">
        <v>2096</v>
      </c>
      <c r="C546">
        <v>15900</v>
      </c>
      <c r="D546">
        <v>1.3815615833333299</v>
      </c>
      <c r="E546" s="1" t="s">
        <v>2097</v>
      </c>
      <c r="F546" t="s">
        <v>2098</v>
      </c>
    </row>
    <row r="547" spans="1:6" x14ac:dyDescent="0.3">
      <c r="A547" t="s">
        <v>2099</v>
      </c>
      <c r="B547" t="s">
        <v>2100</v>
      </c>
      <c r="C547">
        <v>16918</v>
      </c>
      <c r="D547">
        <v>1.3807865833333299</v>
      </c>
      <c r="E547">
        <v>3.0304128413090599E-3</v>
      </c>
      <c r="F547" t="s">
        <v>2101</v>
      </c>
    </row>
    <row r="548" spans="1:6" x14ac:dyDescent="0.3">
      <c r="A548" t="s">
        <v>2102</v>
      </c>
      <c r="B548" t="s">
        <v>2103</v>
      </c>
      <c r="C548">
        <v>56489</v>
      </c>
      <c r="D548">
        <v>1.38003883333333</v>
      </c>
      <c r="E548">
        <v>7.57286310413547E-4</v>
      </c>
      <c r="F548" t="s">
        <v>2104</v>
      </c>
    </row>
    <row r="549" spans="1:6" x14ac:dyDescent="0.3">
      <c r="A549" t="s">
        <v>2105</v>
      </c>
      <c r="B549" t="s">
        <v>2106</v>
      </c>
      <c r="C549">
        <v>11813</v>
      </c>
      <c r="D549">
        <v>1.3743895833333299</v>
      </c>
      <c r="E549">
        <v>4.7680565112962002E-2</v>
      </c>
      <c r="F549" t="s">
        <v>2107</v>
      </c>
    </row>
    <row r="550" spans="1:6" x14ac:dyDescent="0.3">
      <c r="A550" t="s">
        <v>2108</v>
      </c>
      <c r="B550" t="s">
        <v>2109</v>
      </c>
      <c r="C550">
        <v>52076</v>
      </c>
      <c r="D550">
        <v>1.37354833333334</v>
      </c>
      <c r="E550" s="1" t="s">
        <v>2110</v>
      </c>
      <c r="F550" t="s">
        <v>2111</v>
      </c>
    </row>
    <row r="551" spans="1:6" x14ac:dyDescent="0.3">
      <c r="A551" t="s">
        <v>2112</v>
      </c>
      <c r="B551" t="s">
        <v>2113</v>
      </c>
      <c r="C551">
        <v>22051</v>
      </c>
      <c r="D551">
        <v>1.3731230000000001</v>
      </c>
      <c r="E551">
        <v>1.5941132017554399E-2</v>
      </c>
      <c r="F551" t="s">
        <v>2114</v>
      </c>
    </row>
    <row r="552" spans="1:6" x14ac:dyDescent="0.3">
      <c r="A552" t="s">
        <v>2115</v>
      </c>
      <c r="B552" t="s">
        <v>2116</v>
      </c>
      <c r="C552">
        <v>171580</v>
      </c>
      <c r="D552">
        <v>1.3723126666666701</v>
      </c>
      <c r="E552" s="1" t="s">
        <v>2117</v>
      </c>
      <c r="F552" t="s">
        <v>2118</v>
      </c>
    </row>
    <row r="553" spans="1:6" x14ac:dyDescent="0.3">
      <c r="A553" t="s">
        <v>2119</v>
      </c>
      <c r="B553" t="s">
        <v>2120</v>
      </c>
      <c r="C553">
        <v>18828</v>
      </c>
      <c r="D553">
        <v>1.37117775</v>
      </c>
      <c r="E553" s="1" t="s">
        <v>2121</v>
      </c>
      <c r="F553" t="s">
        <v>2122</v>
      </c>
    </row>
    <row r="554" spans="1:6" x14ac:dyDescent="0.3">
      <c r="A554" t="s">
        <v>2123</v>
      </c>
      <c r="B554" t="s">
        <v>2124</v>
      </c>
      <c r="C554">
        <v>14726</v>
      </c>
      <c r="D554">
        <v>1.3655555833333299</v>
      </c>
      <c r="E554">
        <v>1.7777867059786499E-4</v>
      </c>
      <c r="F554" t="s">
        <v>2125</v>
      </c>
    </row>
    <row r="555" spans="1:6" x14ac:dyDescent="0.3">
      <c r="A555" t="s">
        <v>2126</v>
      </c>
      <c r="B555" t="s">
        <v>2127</v>
      </c>
      <c r="C555">
        <v>16782</v>
      </c>
      <c r="D555">
        <v>1.36337366666667</v>
      </c>
      <c r="E555">
        <v>2.43893809220291E-4</v>
      </c>
      <c r="F555" t="s">
        <v>2128</v>
      </c>
    </row>
    <row r="556" spans="1:6" x14ac:dyDescent="0.3">
      <c r="A556" t="s">
        <v>2129</v>
      </c>
      <c r="B556" t="s">
        <v>2130</v>
      </c>
      <c r="C556">
        <v>16331</v>
      </c>
      <c r="D556">
        <v>1.36318116666667</v>
      </c>
      <c r="E556">
        <v>3.14168467808103E-4</v>
      </c>
      <c r="F556" t="s">
        <v>2131</v>
      </c>
    </row>
    <row r="557" spans="1:6" x14ac:dyDescent="0.3">
      <c r="A557" t="s">
        <v>2132</v>
      </c>
      <c r="B557" t="s">
        <v>2133</v>
      </c>
      <c r="C557">
        <v>22147</v>
      </c>
      <c r="D557">
        <v>1.36204191666667</v>
      </c>
      <c r="E557">
        <v>1.42693254391842E-3</v>
      </c>
      <c r="F557" t="s">
        <v>2134</v>
      </c>
    </row>
    <row r="558" spans="1:6" x14ac:dyDescent="0.3">
      <c r="A558" t="s">
        <v>2135</v>
      </c>
      <c r="B558" t="s">
        <v>2136</v>
      </c>
      <c r="C558">
        <v>70967</v>
      </c>
      <c r="D558">
        <v>1.3609039166666701</v>
      </c>
      <c r="E558">
        <v>2.4662640003836099E-3</v>
      </c>
      <c r="F558" t="s">
        <v>2137</v>
      </c>
    </row>
    <row r="559" spans="1:6" x14ac:dyDescent="0.3">
      <c r="A559" t="s">
        <v>2138</v>
      </c>
      <c r="B559" t="s">
        <v>2139</v>
      </c>
      <c r="C559">
        <v>93725</v>
      </c>
      <c r="D559">
        <v>1.36047441666667</v>
      </c>
      <c r="E559">
        <v>1.4341978192974501E-3</v>
      </c>
      <c r="F559" t="s">
        <v>2140</v>
      </c>
    </row>
    <row r="560" spans="1:6" x14ac:dyDescent="0.3">
      <c r="A560" t="s">
        <v>2141</v>
      </c>
      <c r="B560" t="s">
        <v>2142</v>
      </c>
      <c r="C560">
        <v>11838</v>
      </c>
      <c r="D560">
        <v>1.3602455</v>
      </c>
      <c r="E560">
        <v>9.9876915029182504E-4</v>
      </c>
      <c r="F560" t="s">
        <v>2143</v>
      </c>
    </row>
    <row r="561" spans="1:6" x14ac:dyDescent="0.3">
      <c r="A561" t="s">
        <v>2144</v>
      </c>
      <c r="B561" t="s">
        <v>2145</v>
      </c>
      <c r="C561">
        <v>18173</v>
      </c>
      <c r="D561">
        <v>1.35838725</v>
      </c>
      <c r="E561" s="1" t="s">
        <v>2146</v>
      </c>
      <c r="F561" t="s">
        <v>2147</v>
      </c>
    </row>
    <row r="562" spans="1:6" x14ac:dyDescent="0.3">
      <c r="A562" t="s">
        <v>2148</v>
      </c>
      <c r="B562" t="s">
        <v>2149</v>
      </c>
      <c r="C562">
        <v>16818</v>
      </c>
      <c r="D562">
        <v>1.35751616666667</v>
      </c>
      <c r="E562">
        <v>9.1401534767424492E-3</v>
      </c>
      <c r="F562" t="s">
        <v>2150</v>
      </c>
    </row>
    <row r="563" spans="1:6" x14ac:dyDescent="0.3">
      <c r="A563" t="s">
        <v>2151</v>
      </c>
      <c r="B563" t="s">
        <v>2152</v>
      </c>
      <c r="C563">
        <v>237759</v>
      </c>
      <c r="D563">
        <v>1.3564831666666699</v>
      </c>
      <c r="E563">
        <v>1.04020975684455E-2</v>
      </c>
      <c r="F563" t="s">
        <v>2153</v>
      </c>
    </row>
    <row r="564" spans="1:6" x14ac:dyDescent="0.3">
      <c r="A564" t="s">
        <v>2154</v>
      </c>
      <c r="B564" t="s">
        <v>2155</v>
      </c>
      <c r="C564" t="s">
        <v>239</v>
      </c>
      <c r="D564">
        <v>1.3563908333333401</v>
      </c>
      <c r="E564" s="1" t="s">
        <v>2156</v>
      </c>
      <c r="F564" t="s">
        <v>2157</v>
      </c>
    </row>
    <row r="565" spans="1:6" x14ac:dyDescent="0.3">
      <c r="A565" t="s">
        <v>2158</v>
      </c>
      <c r="B565" t="s">
        <v>2159</v>
      </c>
      <c r="C565">
        <v>21355</v>
      </c>
      <c r="D565">
        <v>1.35475233333333</v>
      </c>
      <c r="E565">
        <v>1.33297274420545E-2</v>
      </c>
      <c r="F565" t="s">
        <v>2160</v>
      </c>
    </row>
    <row r="566" spans="1:6" x14ac:dyDescent="0.3">
      <c r="A566" t="s">
        <v>2161</v>
      </c>
      <c r="B566" t="s">
        <v>2162</v>
      </c>
      <c r="C566">
        <v>20775</v>
      </c>
      <c r="D566">
        <v>1.3506659999999999</v>
      </c>
      <c r="E566">
        <v>1.6532636164420499E-4</v>
      </c>
      <c r="F566" t="s">
        <v>2163</v>
      </c>
    </row>
    <row r="567" spans="1:6" x14ac:dyDescent="0.3">
      <c r="A567" t="s">
        <v>2164</v>
      </c>
      <c r="B567" t="s">
        <v>2165</v>
      </c>
      <c r="C567">
        <v>14824</v>
      </c>
      <c r="D567">
        <v>1.3486766666666701</v>
      </c>
      <c r="E567">
        <v>4.0296891063300099E-4</v>
      </c>
      <c r="F567" t="s">
        <v>2166</v>
      </c>
    </row>
    <row r="568" spans="1:6" x14ac:dyDescent="0.3">
      <c r="A568" t="s">
        <v>2167</v>
      </c>
      <c r="B568" t="s">
        <v>2168</v>
      </c>
      <c r="C568">
        <v>14017</v>
      </c>
      <c r="D568">
        <v>1.34859975</v>
      </c>
      <c r="E568">
        <v>1.18036551490841E-4</v>
      </c>
      <c r="F568" t="s">
        <v>2169</v>
      </c>
    </row>
    <row r="569" spans="1:6" x14ac:dyDescent="0.3">
      <c r="A569" t="s">
        <v>2170</v>
      </c>
      <c r="B569" t="s">
        <v>2170</v>
      </c>
      <c r="C569" t="s">
        <v>239</v>
      </c>
      <c r="D569">
        <v>1.34459341666667</v>
      </c>
      <c r="E569">
        <v>3.0985800272172301E-4</v>
      </c>
      <c r="F569" t="s">
        <v>239</v>
      </c>
    </row>
    <row r="570" spans="1:6" x14ac:dyDescent="0.3">
      <c r="A570" t="s">
        <v>108</v>
      </c>
      <c r="B570" t="s">
        <v>107</v>
      </c>
      <c r="C570">
        <v>21937</v>
      </c>
      <c r="D570">
        <v>1.3412014166666699</v>
      </c>
      <c r="E570">
        <v>1.7670505900860599E-3</v>
      </c>
      <c r="F570" t="s">
        <v>2171</v>
      </c>
    </row>
    <row r="571" spans="1:6" x14ac:dyDescent="0.3">
      <c r="A571" t="s">
        <v>2172</v>
      </c>
      <c r="B571" t="s">
        <v>2173</v>
      </c>
      <c r="C571">
        <v>71839</v>
      </c>
      <c r="D571">
        <v>1.3410252499999999</v>
      </c>
      <c r="E571">
        <v>5.9103819922577397E-3</v>
      </c>
      <c r="F571" t="s">
        <v>2174</v>
      </c>
    </row>
    <row r="572" spans="1:6" x14ac:dyDescent="0.3">
      <c r="A572" t="s">
        <v>2175</v>
      </c>
      <c r="B572" t="s">
        <v>2176</v>
      </c>
      <c r="C572">
        <v>22376</v>
      </c>
      <c r="D572">
        <v>1.33755758333333</v>
      </c>
      <c r="E572" s="1" t="s">
        <v>2177</v>
      </c>
      <c r="F572" t="s">
        <v>2178</v>
      </c>
    </row>
    <row r="573" spans="1:6" x14ac:dyDescent="0.3">
      <c r="A573" t="s">
        <v>2179</v>
      </c>
      <c r="B573" t="s">
        <v>2180</v>
      </c>
      <c r="C573">
        <v>65972</v>
      </c>
      <c r="D573">
        <v>1.3342921666666701</v>
      </c>
      <c r="E573">
        <v>7.7482359921027201E-4</v>
      </c>
      <c r="F573" t="s">
        <v>2181</v>
      </c>
    </row>
    <row r="574" spans="1:6" x14ac:dyDescent="0.3">
      <c r="A574" t="s">
        <v>2182</v>
      </c>
      <c r="B574" t="s">
        <v>2183</v>
      </c>
      <c r="C574">
        <v>18722</v>
      </c>
      <c r="D574">
        <v>1.33133066666667</v>
      </c>
      <c r="E574">
        <v>6.5648784010098101E-3</v>
      </c>
      <c r="F574" t="s">
        <v>2184</v>
      </c>
    </row>
    <row r="575" spans="1:6" x14ac:dyDescent="0.3">
      <c r="A575" t="s">
        <v>2185</v>
      </c>
      <c r="B575" t="s">
        <v>2186</v>
      </c>
      <c r="C575">
        <v>55942</v>
      </c>
      <c r="D575">
        <v>1.3301894166666699</v>
      </c>
      <c r="E575" s="1" t="s">
        <v>2187</v>
      </c>
      <c r="F575" t="s">
        <v>2188</v>
      </c>
    </row>
    <row r="576" spans="1:6" x14ac:dyDescent="0.3">
      <c r="A576" t="s">
        <v>2189</v>
      </c>
      <c r="B576" t="s">
        <v>2190</v>
      </c>
      <c r="C576">
        <v>50908</v>
      </c>
      <c r="D576">
        <v>1.32957666666667</v>
      </c>
      <c r="E576" s="1" t="s">
        <v>2191</v>
      </c>
      <c r="F576" t="s">
        <v>2192</v>
      </c>
    </row>
    <row r="577" spans="1:6" x14ac:dyDescent="0.3">
      <c r="A577" t="s">
        <v>2193</v>
      </c>
      <c r="B577" t="s">
        <v>2194</v>
      </c>
      <c r="C577">
        <v>56454</v>
      </c>
      <c r="D577">
        <v>1.3286534999999999</v>
      </c>
      <c r="E577">
        <v>1.42741911113242E-4</v>
      </c>
      <c r="F577" t="s">
        <v>2195</v>
      </c>
    </row>
    <row r="578" spans="1:6" x14ac:dyDescent="0.3">
      <c r="A578" t="s">
        <v>2196</v>
      </c>
      <c r="B578" t="s">
        <v>2197</v>
      </c>
      <c r="C578">
        <v>211666</v>
      </c>
      <c r="D578">
        <v>1.328028</v>
      </c>
      <c r="E578">
        <v>4.9981350729153202E-4</v>
      </c>
      <c r="F578" t="s">
        <v>2198</v>
      </c>
    </row>
    <row r="579" spans="1:6" x14ac:dyDescent="0.3">
      <c r="A579" t="s">
        <v>2199</v>
      </c>
      <c r="B579" t="s">
        <v>2200</v>
      </c>
      <c r="C579">
        <v>270084</v>
      </c>
      <c r="D579">
        <v>1.3279656666666699</v>
      </c>
      <c r="E579">
        <v>8.8544812746797295E-3</v>
      </c>
      <c r="F579" t="s">
        <v>2201</v>
      </c>
    </row>
    <row r="580" spans="1:6" x14ac:dyDescent="0.3">
      <c r="A580" t="s">
        <v>2202</v>
      </c>
      <c r="B580" t="s">
        <v>2203</v>
      </c>
      <c r="C580">
        <v>75234</v>
      </c>
      <c r="D580">
        <v>1.32745</v>
      </c>
      <c r="E580" s="1" t="s">
        <v>2204</v>
      </c>
      <c r="F580" t="s">
        <v>2205</v>
      </c>
    </row>
    <row r="581" spans="1:6" x14ac:dyDescent="0.3">
      <c r="A581" t="s">
        <v>2206</v>
      </c>
      <c r="B581" t="s">
        <v>2207</v>
      </c>
      <c r="C581">
        <v>18987</v>
      </c>
      <c r="D581">
        <v>1.3227660833333299</v>
      </c>
      <c r="E581">
        <v>3.13320376802009E-3</v>
      </c>
      <c r="F581" t="s">
        <v>2208</v>
      </c>
    </row>
    <row r="582" spans="1:6" x14ac:dyDescent="0.3">
      <c r="A582" t="s">
        <v>2209</v>
      </c>
      <c r="B582" t="s">
        <v>2210</v>
      </c>
      <c r="C582">
        <v>237560</v>
      </c>
      <c r="D582">
        <v>1.3227457499999999</v>
      </c>
      <c r="E582">
        <v>4.8067684232159999E-3</v>
      </c>
      <c r="F582" t="s">
        <v>2211</v>
      </c>
    </row>
    <row r="583" spans="1:6" x14ac:dyDescent="0.3">
      <c r="A583" t="s">
        <v>2212</v>
      </c>
      <c r="B583" t="s">
        <v>2213</v>
      </c>
      <c r="C583">
        <v>72275</v>
      </c>
      <c r="D583">
        <v>1.32257308333333</v>
      </c>
      <c r="E583">
        <v>3.1970839474249502E-2</v>
      </c>
      <c r="F583" t="s">
        <v>2214</v>
      </c>
    </row>
    <row r="584" spans="1:6" x14ac:dyDescent="0.3">
      <c r="A584" t="s">
        <v>2215</v>
      </c>
      <c r="B584" t="s">
        <v>2216</v>
      </c>
      <c r="C584">
        <v>244152</v>
      </c>
      <c r="D584">
        <v>1.3205131666666701</v>
      </c>
      <c r="E584">
        <v>7.3822626448399303E-3</v>
      </c>
      <c r="F584" t="s">
        <v>2217</v>
      </c>
    </row>
    <row r="585" spans="1:6" x14ac:dyDescent="0.3">
      <c r="A585" t="s">
        <v>2218</v>
      </c>
      <c r="B585" t="s">
        <v>2219</v>
      </c>
      <c r="C585">
        <v>667034</v>
      </c>
      <c r="D585">
        <v>1.32034733333333</v>
      </c>
      <c r="E585">
        <v>8.2775944787774798E-4</v>
      </c>
      <c r="F585" t="s">
        <v>2220</v>
      </c>
    </row>
    <row r="586" spans="1:6" x14ac:dyDescent="0.3">
      <c r="A586" t="s">
        <v>2221</v>
      </c>
      <c r="B586" t="s">
        <v>2222</v>
      </c>
      <c r="C586">
        <v>12505</v>
      </c>
      <c r="D586">
        <v>1.3201018333333401</v>
      </c>
      <c r="E586">
        <v>4.8038309155007397E-3</v>
      </c>
      <c r="F586" t="s">
        <v>2223</v>
      </c>
    </row>
    <row r="587" spans="1:6" x14ac:dyDescent="0.3">
      <c r="A587" t="s">
        <v>2224</v>
      </c>
      <c r="B587" t="s">
        <v>2225</v>
      </c>
      <c r="C587">
        <v>107094</v>
      </c>
      <c r="D587">
        <v>1.31795966666666</v>
      </c>
      <c r="E587" s="1" t="s">
        <v>2226</v>
      </c>
      <c r="F587" t="s">
        <v>2227</v>
      </c>
    </row>
    <row r="588" spans="1:6" x14ac:dyDescent="0.3">
      <c r="A588" t="s">
        <v>2228</v>
      </c>
      <c r="B588" t="s">
        <v>2229</v>
      </c>
      <c r="C588">
        <v>16453</v>
      </c>
      <c r="D588">
        <v>1.31702416666667</v>
      </c>
      <c r="E588">
        <v>1.75562289246884E-3</v>
      </c>
      <c r="F588" t="s">
        <v>2230</v>
      </c>
    </row>
    <row r="589" spans="1:6" x14ac:dyDescent="0.3">
      <c r="A589" t="s">
        <v>2231</v>
      </c>
      <c r="B589" t="s">
        <v>2232</v>
      </c>
      <c r="C589">
        <v>17084</v>
      </c>
      <c r="D589">
        <v>1.3168053333333301</v>
      </c>
      <c r="E589">
        <v>5.0002084206966198E-3</v>
      </c>
      <c r="F589" t="s">
        <v>2233</v>
      </c>
    </row>
    <row r="590" spans="1:6" x14ac:dyDescent="0.3">
      <c r="A590" t="s">
        <v>2234</v>
      </c>
      <c r="B590" t="s">
        <v>2235</v>
      </c>
      <c r="C590">
        <v>14221</v>
      </c>
      <c r="D590">
        <v>1.3165985</v>
      </c>
      <c r="E590">
        <v>5.7505714956713003E-3</v>
      </c>
      <c r="F590" t="s">
        <v>2236</v>
      </c>
    </row>
    <row r="591" spans="1:6" x14ac:dyDescent="0.3">
      <c r="A591" t="s">
        <v>2237</v>
      </c>
      <c r="B591" t="s">
        <v>2238</v>
      </c>
      <c r="C591">
        <v>20971</v>
      </c>
      <c r="D591">
        <v>1.31250458333333</v>
      </c>
      <c r="E591">
        <v>7.2705433247357096E-3</v>
      </c>
      <c r="F591" t="s">
        <v>2239</v>
      </c>
    </row>
    <row r="592" spans="1:6" x14ac:dyDescent="0.3">
      <c r="A592" t="s">
        <v>2240</v>
      </c>
      <c r="B592" t="s">
        <v>2241</v>
      </c>
      <c r="C592">
        <v>20350</v>
      </c>
      <c r="D592">
        <v>1.31234775</v>
      </c>
      <c r="E592">
        <v>1.7364003748551699E-2</v>
      </c>
      <c r="F592" t="s">
        <v>2242</v>
      </c>
    </row>
    <row r="593" spans="1:6" x14ac:dyDescent="0.3">
      <c r="A593" t="s">
        <v>2243</v>
      </c>
      <c r="B593" t="s">
        <v>2244</v>
      </c>
      <c r="C593">
        <v>338365</v>
      </c>
      <c r="D593">
        <v>1.31188041666667</v>
      </c>
      <c r="E593">
        <v>5.2821315438413901E-3</v>
      </c>
      <c r="F593" t="s">
        <v>2245</v>
      </c>
    </row>
    <row r="594" spans="1:6" x14ac:dyDescent="0.3">
      <c r="A594" t="s">
        <v>2246</v>
      </c>
      <c r="B594" t="s">
        <v>2247</v>
      </c>
      <c r="C594">
        <v>11746</v>
      </c>
      <c r="D594">
        <v>1.30966416666667</v>
      </c>
      <c r="E594" s="1" t="s">
        <v>2248</v>
      </c>
      <c r="F594" t="s">
        <v>2249</v>
      </c>
    </row>
    <row r="595" spans="1:6" x14ac:dyDescent="0.3">
      <c r="A595" t="s">
        <v>2250</v>
      </c>
      <c r="B595" t="s">
        <v>2251</v>
      </c>
      <c r="C595">
        <v>50493</v>
      </c>
      <c r="D595">
        <v>1.3049679999999999</v>
      </c>
      <c r="E595">
        <v>1.4544972937918099E-4</v>
      </c>
      <c r="F595" t="s">
        <v>2252</v>
      </c>
    </row>
    <row r="596" spans="1:6" x14ac:dyDescent="0.3">
      <c r="A596" t="s">
        <v>2253</v>
      </c>
      <c r="B596" t="s">
        <v>2254</v>
      </c>
      <c r="C596">
        <v>12971</v>
      </c>
      <c r="D596">
        <v>1.29983416666667</v>
      </c>
      <c r="E596">
        <v>1.6394360205486E-2</v>
      </c>
      <c r="F596" t="s">
        <v>2255</v>
      </c>
    </row>
    <row r="597" spans="1:6" x14ac:dyDescent="0.3">
      <c r="A597" t="s">
        <v>2256</v>
      </c>
      <c r="B597" t="s">
        <v>2257</v>
      </c>
      <c r="C597">
        <v>12846</v>
      </c>
      <c r="D597">
        <v>1.29794083333333</v>
      </c>
      <c r="E597" s="1" t="s">
        <v>2258</v>
      </c>
      <c r="F597" t="s">
        <v>2259</v>
      </c>
    </row>
    <row r="598" spans="1:6" x14ac:dyDescent="0.3">
      <c r="A598" t="s">
        <v>2260</v>
      </c>
      <c r="B598" t="s">
        <v>2261</v>
      </c>
      <c r="C598">
        <v>17957</v>
      </c>
      <c r="D598">
        <v>1.29569975</v>
      </c>
      <c r="E598">
        <v>2.7190153923408299E-2</v>
      </c>
      <c r="F598" t="s">
        <v>2262</v>
      </c>
    </row>
    <row r="599" spans="1:6" x14ac:dyDescent="0.3">
      <c r="A599" t="s">
        <v>2263</v>
      </c>
      <c r="B599" t="s">
        <v>2264</v>
      </c>
      <c r="C599">
        <v>20887</v>
      </c>
      <c r="D599">
        <v>1.2953966666666701</v>
      </c>
      <c r="E599">
        <v>1.08513950572654E-3</v>
      </c>
      <c r="F599" t="s">
        <v>2265</v>
      </c>
    </row>
    <row r="600" spans="1:6" x14ac:dyDescent="0.3">
      <c r="A600" t="s">
        <v>2266</v>
      </c>
      <c r="B600" t="s">
        <v>2267</v>
      </c>
      <c r="C600">
        <v>383619</v>
      </c>
      <c r="D600">
        <v>1.2953431666666699</v>
      </c>
      <c r="E600">
        <v>6.4672550118503196E-4</v>
      </c>
      <c r="F600" t="s">
        <v>2268</v>
      </c>
    </row>
    <row r="601" spans="1:6" x14ac:dyDescent="0.3">
      <c r="A601" t="s">
        <v>2269</v>
      </c>
      <c r="B601" t="s">
        <v>2270</v>
      </c>
      <c r="C601">
        <v>100340</v>
      </c>
      <c r="D601">
        <v>1.2948041666666601</v>
      </c>
      <c r="E601">
        <v>1.7142888073403501E-2</v>
      </c>
      <c r="F601" t="s">
        <v>2271</v>
      </c>
    </row>
    <row r="602" spans="1:6" x14ac:dyDescent="0.3">
      <c r="A602" t="s">
        <v>2272</v>
      </c>
      <c r="B602" t="s">
        <v>2273</v>
      </c>
      <c r="C602">
        <v>17916</v>
      </c>
      <c r="D602">
        <v>1.2923136666666699</v>
      </c>
      <c r="E602">
        <v>8.0808640278435106E-3</v>
      </c>
      <c r="F602" t="s">
        <v>2274</v>
      </c>
    </row>
    <row r="603" spans="1:6" x14ac:dyDescent="0.3">
      <c r="A603" t="s">
        <v>2275</v>
      </c>
      <c r="B603" t="s">
        <v>2276</v>
      </c>
      <c r="C603">
        <v>75646</v>
      </c>
      <c r="D603">
        <v>1.2901802499999999</v>
      </c>
      <c r="E603">
        <v>4.1749166467826401E-4</v>
      </c>
      <c r="F603" t="s">
        <v>2277</v>
      </c>
    </row>
    <row r="604" spans="1:6" x14ac:dyDescent="0.3">
      <c r="A604" t="s">
        <v>2278</v>
      </c>
      <c r="B604" t="s">
        <v>2279</v>
      </c>
      <c r="C604">
        <v>23900</v>
      </c>
      <c r="D604">
        <v>1.2893142500000001</v>
      </c>
      <c r="E604">
        <v>1.00565859292102E-4</v>
      </c>
      <c r="F604" t="s">
        <v>2280</v>
      </c>
    </row>
    <row r="605" spans="1:6" x14ac:dyDescent="0.3">
      <c r="A605" t="s">
        <v>2281</v>
      </c>
      <c r="B605" t="s">
        <v>2282</v>
      </c>
      <c r="C605">
        <v>17067</v>
      </c>
      <c r="D605">
        <v>1.2875049999999999</v>
      </c>
      <c r="E605">
        <v>1.01483971241541E-4</v>
      </c>
      <c r="F605" t="s">
        <v>2283</v>
      </c>
    </row>
    <row r="606" spans="1:6" x14ac:dyDescent="0.3">
      <c r="A606" t="s">
        <v>2284</v>
      </c>
      <c r="B606" t="s">
        <v>2285</v>
      </c>
      <c r="C606">
        <v>69146</v>
      </c>
      <c r="D606">
        <v>1.2871256666666699</v>
      </c>
      <c r="E606">
        <v>6.5194641264675899E-3</v>
      </c>
      <c r="F606" t="s">
        <v>2286</v>
      </c>
    </row>
    <row r="607" spans="1:6" x14ac:dyDescent="0.3">
      <c r="A607" t="s">
        <v>2287</v>
      </c>
      <c r="B607" t="s">
        <v>2288</v>
      </c>
      <c r="C607">
        <v>54353</v>
      </c>
      <c r="D607">
        <v>1.28543241666667</v>
      </c>
      <c r="E607" s="1" t="s">
        <v>2289</v>
      </c>
      <c r="F607" t="s">
        <v>2290</v>
      </c>
    </row>
    <row r="608" spans="1:6" x14ac:dyDescent="0.3">
      <c r="A608" t="s">
        <v>2291</v>
      </c>
      <c r="B608" t="s">
        <v>2292</v>
      </c>
      <c r="C608">
        <v>18479</v>
      </c>
      <c r="D608">
        <v>1.28158508333333</v>
      </c>
      <c r="E608">
        <v>2.29591108188385E-4</v>
      </c>
      <c r="F608" t="s">
        <v>2293</v>
      </c>
    </row>
    <row r="609" spans="1:6" x14ac:dyDescent="0.3">
      <c r="A609" t="s">
        <v>2294</v>
      </c>
      <c r="B609" t="s">
        <v>2295</v>
      </c>
      <c r="C609">
        <v>195733</v>
      </c>
      <c r="D609">
        <v>1.27755783333333</v>
      </c>
      <c r="E609">
        <v>2.4970128838825302E-4</v>
      </c>
      <c r="F609" t="s">
        <v>2296</v>
      </c>
    </row>
    <row r="610" spans="1:6" x14ac:dyDescent="0.3">
      <c r="A610" t="s">
        <v>2297</v>
      </c>
      <c r="B610" t="s">
        <v>2298</v>
      </c>
      <c r="C610">
        <v>394430</v>
      </c>
      <c r="D610">
        <v>1.2768491666666699</v>
      </c>
      <c r="E610">
        <v>3.2086446823017599E-3</v>
      </c>
      <c r="F610" t="s">
        <v>2299</v>
      </c>
    </row>
    <row r="611" spans="1:6" x14ac:dyDescent="0.3">
      <c r="A611" t="s">
        <v>2300</v>
      </c>
      <c r="B611" t="s">
        <v>2301</v>
      </c>
      <c r="C611">
        <v>66262</v>
      </c>
      <c r="D611">
        <v>1.27378666666667</v>
      </c>
      <c r="E611">
        <v>9.3083060346569701E-4</v>
      </c>
      <c r="F611" t="s">
        <v>2302</v>
      </c>
    </row>
    <row r="612" spans="1:6" x14ac:dyDescent="0.3">
      <c r="A612" t="s">
        <v>2303</v>
      </c>
      <c r="B612" t="s">
        <v>2304</v>
      </c>
      <c r="C612">
        <v>26410</v>
      </c>
      <c r="D612">
        <v>1.2724899166666701</v>
      </c>
      <c r="E612" s="1" t="s">
        <v>439</v>
      </c>
      <c r="F612" t="s">
        <v>2305</v>
      </c>
    </row>
    <row r="613" spans="1:6" x14ac:dyDescent="0.3">
      <c r="A613" t="s">
        <v>2306</v>
      </c>
      <c r="B613" t="s">
        <v>2307</v>
      </c>
      <c r="C613" t="s">
        <v>239</v>
      </c>
      <c r="D613">
        <v>1.271828</v>
      </c>
      <c r="E613">
        <v>1.42914221039096E-4</v>
      </c>
      <c r="F613" t="s">
        <v>2308</v>
      </c>
    </row>
    <row r="614" spans="1:6" x14ac:dyDescent="0.3">
      <c r="A614" t="s">
        <v>2309</v>
      </c>
      <c r="B614" t="s">
        <v>2310</v>
      </c>
      <c r="C614">
        <v>20359</v>
      </c>
      <c r="D614">
        <v>1.2706917499999999</v>
      </c>
      <c r="E614">
        <v>4.4104387785443202E-3</v>
      </c>
      <c r="F614" t="s">
        <v>2311</v>
      </c>
    </row>
    <row r="615" spans="1:6" x14ac:dyDescent="0.3">
      <c r="A615" t="s">
        <v>2312</v>
      </c>
      <c r="B615" t="s">
        <v>2313</v>
      </c>
      <c r="C615">
        <v>58994</v>
      </c>
      <c r="D615">
        <v>1.2697687499999999</v>
      </c>
      <c r="E615">
        <v>2.5443669000824402E-3</v>
      </c>
      <c r="F615" t="s">
        <v>2314</v>
      </c>
    </row>
    <row r="616" spans="1:6" x14ac:dyDescent="0.3">
      <c r="A616" t="s">
        <v>2315</v>
      </c>
      <c r="B616" t="s">
        <v>2316</v>
      </c>
      <c r="C616">
        <v>12394</v>
      </c>
      <c r="D616">
        <v>1.2691981666666701</v>
      </c>
      <c r="E616">
        <v>2.8449858289384001E-3</v>
      </c>
      <c r="F616" t="s">
        <v>2317</v>
      </c>
    </row>
    <row r="617" spans="1:6" x14ac:dyDescent="0.3">
      <c r="A617" t="s">
        <v>2318</v>
      </c>
      <c r="B617" t="s">
        <v>2319</v>
      </c>
      <c r="C617">
        <v>19255</v>
      </c>
      <c r="D617">
        <v>1.26894008333333</v>
      </c>
      <c r="E617" s="1" t="s">
        <v>1444</v>
      </c>
      <c r="F617" t="s">
        <v>2320</v>
      </c>
    </row>
    <row r="618" spans="1:6" x14ac:dyDescent="0.3">
      <c r="A618" t="s">
        <v>2321</v>
      </c>
      <c r="B618" t="s">
        <v>2322</v>
      </c>
      <c r="C618">
        <v>16068</v>
      </c>
      <c r="D618">
        <v>1.2688667499999999</v>
      </c>
      <c r="E618">
        <v>1.4535584697193901E-2</v>
      </c>
      <c r="F618" t="s">
        <v>2323</v>
      </c>
    </row>
    <row r="619" spans="1:6" x14ac:dyDescent="0.3">
      <c r="A619" t="s">
        <v>2324</v>
      </c>
      <c r="B619" t="s">
        <v>2325</v>
      </c>
      <c r="C619">
        <v>11690</v>
      </c>
      <c r="D619">
        <v>1.2653890000000001</v>
      </c>
      <c r="E619">
        <v>4.7646533282348597E-4</v>
      </c>
      <c r="F619" t="s">
        <v>2326</v>
      </c>
    </row>
    <row r="620" spans="1:6" x14ac:dyDescent="0.3">
      <c r="A620" t="s">
        <v>2327</v>
      </c>
      <c r="B620" t="s">
        <v>2328</v>
      </c>
      <c r="C620">
        <v>69810</v>
      </c>
      <c r="D620">
        <v>1.26400275</v>
      </c>
      <c r="E620">
        <v>2.4746794282116901E-3</v>
      </c>
      <c r="F620" t="s">
        <v>2329</v>
      </c>
    </row>
    <row r="621" spans="1:6" x14ac:dyDescent="0.3">
      <c r="A621" t="s">
        <v>2330</v>
      </c>
      <c r="B621" t="s">
        <v>2330</v>
      </c>
      <c r="C621" t="s">
        <v>239</v>
      </c>
      <c r="D621">
        <v>1.2627522499999999</v>
      </c>
      <c r="E621" s="1" t="s">
        <v>2331</v>
      </c>
      <c r="F621" t="s">
        <v>239</v>
      </c>
    </row>
    <row r="622" spans="1:6" x14ac:dyDescent="0.3">
      <c r="A622" t="s">
        <v>2332</v>
      </c>
      <c r="B622" t="s">
        <v>2333</v>
      </c>
      <c r="C622">
        <v>216856</v>
      </c>
      <c r="D622">
        <v>1.2572014166666701</v>
      </c>
      <c r="E622">
        <v>5.3514695069344E-3</v>
      </c>
      <c r="F622" t="s">
        <v>2334</v>
      </c>
    </row>
    <row r="623" spans="1:6" x14ac:dyDescent="0.3">
      <c r="A623" t="s">
        <v>2335</v>
      </c>
      <c r="B623" t="s">
        <v>2336</v>
      </c>
      <c r="C623">
        <v>68760</v>
      </c>
      <c r="D623">
        <v>1.2546963333333401</v>
      </c>
      <c r="E623">
        <v>1.57486730385847E-3</v>
      </c>
      <c r="F623" t="s">
        <v>2337</v>
      </c>
    </row>
    <row r="624" spans="1:6" x14ac:dyDescent="0.3">
      <c r="A624" t="s">
        <v>2338</v>
      </c>
      <c r="B624" t="s">
        <v>2339</v>
      </c>
      <c r="C624">
        <v>56743</v>
      </c>
      <c r="D624">
        <v>1.2531968333333301</v>
      </c>
      <c r="E624">
        <v>2.90362907103907E-2</v>
      </c>
      <c r="F624" t="s">
        <v>2340</v>
      </c>
    </row>
    <row r="625" spans="1:6" x14ac:dyDescent="0.3">
      <c r="A625" t="s">
        <v>2341</v>
      </c>
      <c r="B625" t="s">
        <v>2342</v>
      </c>
      <c r="C625">
        <v>71091</v>
      </c>
      <c r="D625">
        <v>1.24791916666667</v>
      </c>
      <c r="E625">
        <v>8.4110482179612298E-3</v>
      </c>
      <c r="F625" t="s">
        <v>2343</v>
      </c>
    </row>
    <row r="626" spans="1:6" x14ac:dyDescent="0.3">
      <c r="A626" t="s">
        <v>2344</v>
      </c>
      <c r="B626" t="s">
        <v>2345</v>
      </c>
      <c r="C626">
        <v>193740</v>
      </c>
      <c r="D626">
        <v>1.24700258333333</v>
      </c>
      <c r="E626">
        <v>1.9387948892823299E-4</v>
      </c>
      <c r="F626" t="s">
        <v>2346</v>
      </c>
    </row>
    <row r="627" spans="1:6" x14ac:dyDescent="0.3">
      <c r="A627" t="s">
        <v>2347</v>
      </c>
      <c r="B627" t="s">
        <v>2348</v>
      </c>
      <c r="C627">
        <v>81879</v>
      </c>
      <c r="D627">
        <v>1.2468519166666701</v>
      </c>
      <c r="E627">
        <v>2.2586208259408901E-3</v>
      </c>
      <c r="F627" t="s">
        <v>2349</v>
      </c>
    </row>
    <row r="628" spans="1:6" x14ac:dyDescent="0.3">
      <c r="A628" t="s">
        <v>2350</v>
      </c>
      <c r="B628" t="s">
        <v>2351</v>
      </c>
      <c r="C628">
        <v>21810</v>
      </c>
      <c r="D628">
        <v>1.2461866666666701</v>
      </c>
      <c r="E628">
        <v>3.9222980701478097E-3</v>
      </c>
      <c r="F628" t="s">
        <v>2352</v>
      </c>
    </row>
    <row r="629" spans="1:6" x14ac:dyDescent="0.3">
      <c r="A629" t="s">
        <v>2353</v>
      </c>
      <c r="B629" t="s">
        <v>2354</v>
      </c>
      <c r="C629">
        <v>69189</v>
      </c>
      <c r="D629">
        <v>1.2438674166666699</v>
      </c>
      <c r="E629" s="1" t="s">
        <v>2355</v>
      </c>
      <c r="F629" t="s">
        <v>2356</v>
      </c>
    </row>
    <row r="630" spans="1:6" x14ac:dyDescent="0.3">
      <c r="A630" t="s">
        <v>2357</v>
      </c>
      <c r="B630" t="s">
        <v>2358</v>
      </c>
      <c r="C630">
        <v>70675</v>
      </c>
      <c r="D630">
        <v>1.2436674999999999</v>
      </c>
      <c r="E630">
        <v>1.09081875029736E-3</v>
      </c>
      <c r="F630" t="s">
        <v>2359</v>
      </c>
    </row>
    <row r="631" spans="1:6" x14ac:dyDescent="0.3">
      <c r="A631" t="s">
        <v>2360</v>
      </c>
      <c r="B631" t="s">
        <v>2361</v>
      </c>
      <c r="C631">
        <v>638247</v>
      </c>
      <c r="D631">
        <v>1.2436545833333299</v>
      </c>
      <c r="E631">
        <v>1.1659952887197E-3</v>
      </c>
      <c r="F631" t="s">
        <v>2362</v>
      </c>
    </row>
    <row r="632" spans="1:6" x14ac:dyDescent="0.3">
      <c r="A632" t="s">
        <v>2363</v>
      </c>
      <c r="B632" t="s">
        <v>2364</v>
      </c>
      <c r="C632">
        <v>67951</v>
      </c>
      <c r="D632">
        <v>1.24183175</v>
      </c>
      <c r="E632">
        <v>1.80210298521353E-3</v>
      </c>
      <c r="F632" t="s">
        <v>2365</v>
      </c>
    </row>
    <row r="633" spans="1:6" x14ac:dyDescent="0.3">
      <c r="A633" t="s">
        <v>2366</v>
      </c>
      <c r="B633" t="s">
        <v>2367</v>
      </c>
      <c r="C633">
        <v>18036</v>
      </c>
      <c r="D633">
        <v>1.2397547499999999</v>
      </c>
      <c r="E633">
        <v>1.48442565536148E-2</v>
      </c>
      <c r="F633" t="s">
        <v>2368</v>
      </c>
    </row>
    <row r="634" spans="1:6" x14ac:dyDescent="0.3">
      <c r="A634" t="s">
        <v>2369</v>
      </c>
      <c r="B634" t="s">
        <v>2370</v>
      </c>
      <c r="C634">
        <v>67544</v>
      </c>
      <c r="D634">
        <v>1.2385250833333299</v>
      </c>
      <c r="E634">
        <v>8.3910594607880303E-3</v>
      </c>
      <c r="F634" t="s">
        <v>2371</v>
      </c>
    </row>
    <row r="635" spans="1:6" x14ac:dyDescent="0.3">
      <c r="A635" t="s">
        <v>2372</v>
      </c>
      <c r="B635" t="s">
        <v>2373</v>
      </c>
      <c r="C635">
        <v>74155</v>
      </c>
      <c r="D635">
        <v>1.2371919166666701</v>
      </c>
      <c r="E635">
        <v>3.2932037210260702E-3</v>
      </c>
      <c r="F635" t="s">
        <v>2374</v>
      </c>
    </row>
    <row r="636" spans="1:6" x14ac:dyDescent="0.3">
      <c r="A636" t="s">
        <v>2375</v>
      </c>
      <c r="B636" t="s">
        <v>2376</v>
      </c>
      <c r="C636">
        <v>16498</v>
      </c>
      <c r="D636">
        <v>1.2369695833333301</v>
      </c>
      <c r="E636">
        <v>4.3000089882040397E-2</v>
      </c>
      <c r="F636" t="s">
        <v>2377</v>
      </c>
    </row>
    <row r="637" spans="1:6" x14ac:dyDescent="0.3">
      <c r="A637" t="s">
        <v>2378</v>
      </c>
      <c r="B637" t="s">
        <v>2379</v>
      </c>
      <c r="C637">
        <v>78754</v>
      </c>
      <c r="D637">
        <v>1.23106441666667</v>
      </c>
      <c r="E637" s="1" t="s">
        <v>1280</v>
      </c>
      <c r="F637" t="s">
        <v>2380</v>
      </c>
    </row>
    <row r="638" spans="1:6" x14ac:dyDescent="0.3">
      <c r="A638" t="s">
        <v>2381</v>
      </c>
      <c r="B638" t="s">
        <v>2382</v>
      </c>
      <c r="C638">
        <v>100040018</v>
      </c>
      <c r="D638">
        <v>1.22976183333334</v>
      </c>
      <c r="E638">
        <v>4.3292778704452899E-4</v>
      </c>
      <c r="F638" t="s">
        <v>2383</v>
      </c>
    </row>
    <row r="639" spans="1:6" x14ac:dyDescent="0.3">
      <c r="A639" t="s">
        <v>2384</v>
      </c>
      <c r="B639" t="s">
        <v>2385</v>
      </c>
      <c r="C639">
        <v>71982</v>
      </c>
      <c r="D639">
        <v>1.2295834999999999</v>
      </c>
      <c r="E639">
        <v>1.4270427123448399E-4</v>
      </c>
      <c r="F639" t="s">
        <v>2386</v>
      </c>
    </row>
    <row r="640" spans="1:6" x14ac:dyDescent="0.3">
      <c r="A640" t="s">
        <v>2387</v>
      </c>
      <c r="B640" t="s">
        <v>2388</v>
      </c>
      <c r="C640">
        <v>77031</v>
      </c>
      <c r="D640">
        <v>1.2288889166666701</v>
      </c>
      <c r="E640" s="1" t="s">
        <v>2389</v>
      </c>
      <c r="F640" t="s">
        <v>2390</v>
      </c>
    </row>
    <row r="641" spans="1:6" x14ac:dyDescent="0.3">
      <c r="A641" t="s">
        <v>2391</v>
      </c>
      <c r="B641" t="s">
        <v>2392</v>
      </c>
      <c r="C641">
        <v>23849</v>
      </c>
      <c r="D641">
        <v>1.2248853333333301</v>
      </c>
      <c r="E641">
        <v>5.5411221917197001E-4</v>
      </c>
      <c r="F641" t="s">
        <v>2393</v>
      </c>
    </row>
    <row r="642" spans="1:6" x14ac:dyDescent="0.3">
      <c r="A642" t="s">
        <v>2394</v>
      </c>
      <c r="B642" t="s">
        <v>2395</v>
      </c>
      <c r="C642">
        <v>11839</v>
      </c>
      <c r="D642">
        <v>1.2192835</v>
      </c>
      <c r="E642">
        <v>2.0888485073908999E-2</v>
      </c>
      <c r="F642" t="s">
        <v>2396</v>
      </c>
    </row>
    <row r="643" spans="1:6" x14ac:dyDescent="0.3">
      <c r="A643" t="s">
        <v>2397</v>
      </c>
      <c r="B643" t="s">
        <v>2398</v>
      </c>
      <c r="C643">
        <v>94242</v>
      </c>
      <c r="D643">
        <v>1.2189145833333399</v>
      </c>
      <c r="E643" s="1" t="s">
        <v>2399</v>
      </c>
      <c r="F643" t="s">
        <v>2400</v>
      </c>
    </row>
    <row r="644" spans="1:6" x14ac:dyDescent="0.3">
      <c r="A644" t="s">
        <v>2401</v>
      </c>
      <c r="B644" t="s">
        <v>2402</v>
      </c>
      <c r="C644">
        <v>16362</v>
      </c>
      <c r="D644">
        <v>1.2185858333333299</v>
      </c>
      <c r="E644">
        <v>4.4071138539001302E-4</v>
      </c>
      <c r="F644" t="s">
        <v>2403</v>
      </c>
    </row>
    <row r="645" spans="1:6" x14ac:dyDescent="0.3">
      <c r="A645" t="s">
        <v>2404</v>
      </c>
      <c r="B645" t="s">
        <v>2405</v>
      </c>
      <c r="C645">
        <v>69187</v>
      </c>
      <c r="D645">
        <v>1.2183619999999999</v>
      </c>
      <c r="E645">
        <v>1.8053642097709599E-2</v>
      </c>
      <c r="F645" t="s">
        <v>2406</v>
      </c>
    </row>
    <row r="646" spans="1:6" x14ac:dyDescent="0.3">
      <c r="A646" t="s">
        <v>2407</v>
      </c>
      <c r="B646" t="s">
        <v>2408</v>
      </c>
      <c r="C646">
        <v>235344</v>
      </c>
      <c r="D646">
        <v>1.2180260000000001</v>
      </c>
      <c r="E646">
        <v>3.9400003275297399E-2</v>
      </c>
      <c r="F646" t="s">
        <v>2409</v>
      </c>
    </row>
    <row r="647" spans="1:6" x14ac:dyDescent="0.3">
      <c r="A647" t="s">
        <v>2410</v>
      </c>
      <c r="B647" t="s">
        <v>2411</v>
      </c>
      <c r="C647">
        <v>13685</v>
      </c>
      <c r="D647">
        <v>1.2176308333333301</v>
      </c>
      <c r="E647">
        <v>3.1455337873569799E-4</v>
      </c>
      <c r="F647" t="s">
        <v>2412</v>
      </c>
    </row>
    <row r="648" spans="1:6" x14ac:dyDescent="0.3">
      <c r="A648" t="s">
        <v>2413</v>
      </c>
      <c r="B648" t="s">
        <v>2414</v>
      </c>
      <c r="C648">
        <v>55989</v>
      </c>
      <c r="D648">
        <v>1.21448616666667</v>
      </c>
      <c r="E648" s="1" t="s">
        <v>684</v>
      </c>
      <c r="F648" t="s">
        <v>2415</v>
      </c>
    </row>
    <row r="649" spans="1:6" x14ac:dyDescent="0.3">
      <c r="A649" t="s">
        <v>2416</v>
      </c>
      <c r="B649" t="s">
        <v>2417</v>
      </c>
      <c r="C649">
        <v>54343</v>
      </c>
      <c r="D649">
        <v>1.20983183333333</v>
      </c>
      <c r="E649">
        <v>7.7482359921027201E-4</v>
      </c>
      <c r="F649" t="s">
        <v>2418</v>
      </c>
    </row>
    <row r="650" spans="1:6" x14ac:dyDescent="0.3">
      <c r="A650" t="s">
        <v>2419</v>
      </c>
      <c r="B650" t="s">
        <v>2420</v>
      </c>
      <c r="C650">
        <v>16009</v>
      </c>
      <c r="D650">
        <v>1.20978575</v>
      </c>
      <c r="E650">
        <v>7.4390304351307102E-3</v>
      </c>
      <c r="F650" t="s">
        <v>2421</v>
      </c>
    </row>
    <row r="651" spans="1:6" x14ac:dyDescent="0.3">
      <c r="A651" t="s">
        <v>2422</v>
      </c>
      <c r="B651" t="s">
        <v>2423</v>
      </c>
      <c r="C651">
        <v>12035</v>
      </c>
      <c r="D651">
        <v>1.2095769999999999</v>
      </c>
      <c r="E651">
        <v>4.9967372086775402E-2</v>
      </c>
      <c r="F651" t="s">
        <v>2424</v>
      </c>
    </row>
    <row r="652" spans="1:6" x14ac:dyDescent="0.3">
      <c r="A652" t="s">
        <v>2425</v>
      </c>
      <c r="B652" t="s">
        <v>2426</v>
      </c>
      <c r="C652">
        <v>56320</v>
      </c>
      <c r="D652">
        <v>1.20760466666667</v>
      </c>
      <c r="E652">
        <v>3.6777532374056301E-2</v>
      </c>
      <c r="F652" t="s">
        <v>2427</v>
      </c>
    </row>
    <row r="653" spans="1:6" x14ac:dyDescent="0.3">
      <c r="A653" t="s">
        <v>2428</v>
      </c>
      <c r="B653" t="s">
        <v>2429</v>
      </c>
      <c r="C653">
        <v>14555</v>
      </c>
      <c r="D653">
        <v>1.2061282499999999</v>
      </c>
      <c r="E653" s="1" t="s">
        <v>1396</v>
      </c>
      <c r="F653" t="s">
        <v>2430</v>
      </c>
    </row>
    <row r="654" spans="1:6" x14ac:dyDescent="0.3">
      <c r="A654" t="s">
        <v>2431</v>
      </c>
      <c r="B654" t="s">
        <v>2432</v>
      </c>
      <c r="C654">
        <v>104318</v>
      </c>
      <c r="D654">
        <v>1.20376391666667</v>
      </c>
      <c r="E654">
        <v>6.6291280464966899E-3</v>
      </c>
      <c r="F654" t="s">
        <v>2433</v>
      </c>
    </row>
    <row r="655" spans="1:6" x14ac:dyDescent="0.3">
      <c r="A655" t="s">
        <v>2434</v>
      </c>
      <c r="B655" t="s">
        <v>2435</v>
      </c>
      <c r="C655">
        <v>67198</v>
      </c>
      <c r="D655">
        <v>1.2033770833333299</v>
      </c>
      <c r="E655">
        <v>1.05635251602998E-3</v>
      </c>
      <c r="F655" t="s">
        <v>2436</v>
      </c>
    </row>
    <row r="656" spans="1:6" x14ac:dyDescent="0.3">
      <c r="A656" t="s">
        <v>2437</v>
      </c>
      <c r="B656" t="s">
        <v>2438</v>
      </c>
      <c r="C656">
        <v>14362</v>
      </c>
      <c r="D656">
        <v>1.2029046666666701</v>
      </c>
      <c r="E656">
        <v>8.1607096776070004E-3</v>
      </c>
      <c r="F656" t="s">
        <v>2439</v>
      </c>
    </row>
    <row r="657" spans="1:6" x14ac:dyDescent="0.3">
      <c r="A657" t="s">
        <v>2440</v>
      </c>
      <c r="B657" t="s">
        <v>2441</v>
      </c>
      <c r="C657">
        <v>230126</v>
      </c>
      <c r="D657">
        <v>1.20286</v>
      </c>
      <c r="E657">
        <v>1.0506304373707699E-3</v>
      </c>
      <c r="F657" t="s">
        <v>2442</v>
      </c>
    </row>
    <row r="658" spans="1:6" x14ac:dyDescent="0.3">
      <c r="A658" t="s">
        <v>2443</v>
      </c>
      <c r="B658" t="s">
        <v>2444</v>
      </c>
      <c r="C658">
        <v>24099</v>
      </c>
      <c r="D658">
        <v>1.2014020833333301</v>
      </c>
      <c r="E658">
        <v>8.9765167827961703E-3</v>
      </c>
      <c r="F658" t="s">
        <v>2445</v>
      </c>
    </row>
    <row r="659" spans="1:6" x14ac:dyDescent="0.3">
      <c r="A659" t="s">
        <v>2446</v>
      </c>
      <c r="B659" t="s">
        <v>2447</v>
      </c>
      <c r="C659">
        <v>75137</v>
      </c>
      <c r="D659">
        <v>1.2006555000000001</v>
      </c>
      <c r="E659">
        <v>5.7086804594798E-4</v>
      </c>
      <c r="F659" t="s">
        <v>2448</v>
      </c>
    </row>
    <row r="660" spans="1:6" x14ac:dyDescent="0.3">
      <c r="A660" t="s">
        <v>2449</v>
      </c>
      <c r="B660" t="s">
        <v>2450</v>
      </c>
      <c r="C660">
        <v>24059</v>
      </c>
      <c r="D660">
        <v>1.19911241666667</v>
      </c>
      <c r="E660">
        <v>1.6294545920215E-3</v>
      </c>
      <c r="F660" t="s">
        <v>2451</v>
      </c>
    </row>
    <row r="661" spans="1:6" x14ac:dyDescent="0.3">
      <c r="A661" t="s">
        <v>2452</v>
      </c>
      <c r="B661" t="s">
        <v>2453</v>
      </c>
      <c r="C661">
        <v>93694</v>
      </c>
      <c r="D661">
        <v>1.1974372499999999</v>
      </c>
      <c r="E661">
        <v>1.7312191912410299E-3</v>
      </c>
      <c r="F661" t="s">
        <v>2454</v>
      </c>
    </row>
    <row r="662" spans="1:6" x14ac:dyDescent="0.3">
      <c r="A662" t="s">
        <v>2455</v>
      </c>
      <c r="B662" t="s">
        <v>2456</v>
      </c>
      <c r="C662">
        <v>71684</v>
      </c>
      <c r="D662">
        <v>1.19440391666667</v>
      </c>
      <c r="E662" s="1" t="s">
        <v>2457</v>
      </c>
      <c r="F662" t="s">
        <v>2458</v>
      </c>
    </row>
    <row r="663" spans="1:6" x14ac:dyDescent="0.3">
      <c r="A663" t="s">
        <v>2459</v>
      </c>
      <c r="B663" t="s">
        <v>2460</v>
      </c>
      <c r="C663">
        <v>246746</v>
      </c>
      <c r="D663">
        <v>1.1941567500000001</v>
      </c>
      <c r="E663">
        <v>7.6864543803544204E-3</v>
      </c>
      <c r="F663" t="s">
        <v>2461</v>
      </c>
    </row>
    <row r="664" spans="1:6" x14ac:dyDescent="0.3">
      <c r="A664" t="s">
        <v>2462</v>
      </c>
      <c r="B664" t="s">
        <v>2463</v>
      </c>
      <c r="C664">
        <v>213053</v>
      </c>
      <c r="D664">
        <v>1.19342533333333</v>
      </c>
      <c r="E664">
        <v>1.6171748678236899E-3</v>
      </c>
      <c r="F664" t="s">
        <v>2464</v>
      </c>
    </row>
    <row r="665" spans="1:6" x14ac:dyDescent="0.3">
      <c r="A665" t="s">
        <v>2465</v>
      </c>
      <c r="B665" t="s">
        <v>2466</v>
      </c>
      <c r="C665">
        <v>14284</v>
      </c>
      <c r="D665">
        <v>1.1912670000000001</v>
      </c>
      <c r="E665">
        <v>6.3604682192162799E-3</v>
      </c>
      <c r="F665" t="s">
        <v>2467</v>
      </c>
    </row>
    <row r="666" spans="1:6" x14ac:dyDescent="0.3">
      <c r="A666" t="s">
        <v>2468</v>
      </c>
      <c r="B666" t="s">
        <v>2469</v>
      </c>
      <c r="C666">
        <v>212547</v>
      </c>
      <c r="D666">
        <v>1.1883954999999999</v>
      </c>
      <c r="E666">
        <v>6.4397381539639696E-3</v>
      </c>
      <c r="F666" t="s">
        <v>2470</v>
      </c>
    </row>
    <row r="667" spans="1:6" x14ac:dyDescent="0.3">
      <c r="A667" t="s">
        <v>2471</v>
      </c>
      <c r="B667" t="s">
        <v>2472</v>
      </c>
      <c r="C667">
        <v>71643</v>
      </c>
      <c r="D667">
        <v>1.18802725</v>
      </c>
      <c r="E667">
        <v>7.0020516296439195E-4</v>
      </c>
      <c r="F667" t="s">
        <v>2473</v>
      </c>
    </row>
    <row r="668" spans="1:6" x14ac:dyDescent="0.3">
      <c r="A668" t="s">
        <v>2474</v>
      </c>
      <c r="B668" t="s">
        <v>2475</v>
      </c>
      <c r="C668">
        <v>56699</v>
      </c>
      <c r="D668">
        <v>1.18533333333333</v>
      </c>
      <c r="E668">
        <v>5.1037605828941604E-4</v>
      </c>
      <c r="F668" t="s">
        <v>2476</v>
      </c>
    </row>
    <row r="669" spans="1:6" x14ac:dyDescent="0.3">
      <c r="A669" t="s">
        <v>2477</v>
      </c>
      <c r="B669" t="s">
        <v>2478</v>
      </c>
      <c r="C669">
        <v>231712</v>
      </c>
      <c r="D669">
        <v>1.1852978333333299</v>
      </c>
      <c r="E669">
        <v>1.2804585423146499E-3</v>
      </c>
      <c r="F669" t="s">
        <v>2479</v>
      </c>
    </row>
    <row r="670" spans="1:6" x14ac:dyDescent="0.3">
      <c r="A670" t="s">
        <v>2480</v>
      </c>
      <c r="B670" t="s">
        <v>2481</v>
      </c>
      <c r="C670">
        <v>14131</v>
      </c>
      <c r="D670">
        <v>1.18382441666667</v>
      </c>
      <c r="E670">
        <v>3.0690207516559199E-2</v>
      </c>
      <c r="F670" t="s">
        <v>2482</v>
      </c>
    </row>
    <row r="671" spans="1:6" x14ac:dyDescent="0.3">
      <c r="A671" t="s">
        <v>2483</v>
      </c>
      <c r="B671" t="s">
        <v>2484</v>
      </c>
      <c r="C671">
        <v>216049</v>
      </c>
      <c r="D671">
        <v>1.1829164166666699</v>
      </c>
      <c r="E671">
        <v>1.83923744749485E-2</v>
      </c>
      <c r="F671" t="s">
        <v>2485</v>
      </c>
    </row>
    <row r="672" spans="1:6" x14ac:dyDescent="0.3">
      <c r="A672" t="s">
        <v>2486</v>
      </c>
      <c r="B672" t="s">
        <v>2487</v>
      </c>
      <c r="C672">
        <v>233011</v>
      </c>
      <c r="D672">
        <v>1.18243375</v>
      </c>
      <c r="E672">
        <v>5.0500051985501197E-3</v>
      </c>
      <c r="F672" t="s">
        <v>2488</v>
      </c>
    </row>
    <row r="673" spans="1:6" x14ac:dyDescent="0.3">
      <c r="A673" t="s">
        <v>2489</v>
      </c>
      <c r="B673" t="s">
        <v>2490</v>
      </c>
      <c r="C673">
        <v>85031</v>
      </c>
      <c r="D673">
        <v>1.1807731666666701</v>
      </c>
      <c r="E673">
        <v>1.26602410521091E-3</v>
      </c>
      <c r="F673" t="s">
        <v>2491</v>
      </c>
    </row>
    <row r="674" spans="1:6" x14ac:dyDescent="0.3">
      <c r="A674" t="s">
        <v>2492</v>
      </c>
      <c r="B674" t="s">
        <v>2493</v>
      </c>
      <c r="C674">
        <v>208650</v>
      </c>
      <c r="D674">
        <v>1.17891408333333</v>
      </c>
      <c r="E674">
        <v>1.53740862548896E-4</v>
      </c>
      <c r="F674" t="s">
        <v>2494</v>
      </c>
    </row>
    <row r="675" spans="1:6" x14ac:dyDescent="0.3">
      <c r="A675" t="s">
        <v>2495</v>
      </c>
      <c r="B675" t="s">
        <v>2496</v>
      </c>
      <c r="C675">
        <v>20375</v>
      </c>
      <c r="D675">
        <v>1.1780994166666701</v>
      </c>
      <c r="E675" s="1" t="s">
        <v>2497</v>
      </c>
      <c r="F675" t="s">
        <v>2498</v>
      </c>
    </row>
    <row r="676" spans="1:6" x14ac:dyDescent="0.3">
      <c r="A676" t="s">
        <v>2499</v>
      </c>
      <c r="B676" t="s">
        <v>2500</v>
      </c>
      <c r="C676">
        <v>75416</v>
      </c>
      <c r="D676">
        <v>1.1774584166666699</v>
      </c>
      <c r="E676">
        <v>4.3346141221242799E-4</v>
      </c>
      <c r="F676" t="s">
        <v>2501</v>
      </c>
    </row>
    <row r="677" spans="1:6" x14ac:dyDescent="0.3">
      <c r="A677" t="s">
        <v>2502</v>
      </c>
      <c r="B677" t="s">
        <v>2503</v>
      </c>
      <c r="C677">
        <v>15257</v>
      </c>
      <c r="D677">
        <v>1.17711258333333</v>
      </c>
      <c r="E677">
        <v>4.0353285181963502E-2</v>
      </c>
      <c r="F677" t="s">
        <v>2504</v>
      </c>
    </row>
    <row r="678" spans="1:6" x14ac:dyDescent="0.3">
      <c r="A678" t="s">
        <v>2505</v>
      </c>
      <c r="B678" t="s">
        <v>2506</v>
      </c>
      <c r="C678">
        <v>70450</v>
      </c>
      <c r="D678">
        <v>1.17591458333333</v>
      </c>
      <c r="E678">
        <v>1.1598179124271E-2</v>
      </c>
      <c r="F678" t="s">
        <v>2507</v>
      </c>
    </row>
    <row r="679" spans="1:6" x14ac:dyDescent="0.3">
      <c r="A679" t="s">
        <v>2508</v>
      </c>
      <c r="B679" t="s">
        <v>2509</v>
      </c>
      <c r="C679">
        <v>26904</v>
      </c>
      <c r="D679">
        <v>1.1742757500000001</v>
      </c>
      <c r="E679">
        <v>1.65641661970592E-3</v>
      </c>
      <c r="F679" t="s">
        <v>2510</v>
      </c>
    </row>
    <row r="680" spans="1:6" x14ac:dyDescent="0.3">
      <c r="A680" t="s">
        <v>2511</v>
      </c>
      <c r="B680" t="s">
        <v>2512</v>
      </c>
      <c r="C680">
        <v>72309</v>
      </c>
      <c r="D680">
        <v>1.1740000833333299</v>
      </c>
      <c r="E680">
        <v>1.7648625996528298E-2</v>
      </c>
      <c r="F680" t="s">
        <v>2513</v>
      </c>
    </row>
    <row r="681" spans="1:6" x14ac:dyDescent="0.3">
      <c r="A681" t="s">
        <v>2514</v>
      </c>
      <c r="B681" t="s">
        <v>2515</v>
      </c>
      <c r="C681">
        <v>67553</v>
      </c>
      <c r="D681">
        <v>1.17184</v>
      </c>
      <c r="E681">
        <v>3.4926479444809498E-3</v>
      </c>
      <c r="F681" t="s">
        <v>2516</v>
      </c>
    </row>
    <row r="682" spans="1:6" x14ac:dyDescent="0.3">
      <c r="A682" t="s">
        <v>2517</v>
      </c>
      <c r="B682" t="s">
        <v>2518</v>
      </c>
      <c r="C682">
        <v>12259</v>
      </c>
      <c r="D682">
        <v>1.1701203333333301</v>
      </c>
      <c r="E682">
        <v>1.0508704479886199E-3</v>
      </c>
      <c r="F682" t="s">
        <v>2519</v>
      </c>
    </row>
    <row r="683" spans="1:6" x14ac:dyDescent="0.3">
      <c r="A683" t="s">
        <v>2520</v>
      </c>
      <c r="B683" t="s">
        <v>2521</v>
      </c>
      <c r="C683">
        <v>13655</v>
      </c>
      <c r="D683">
        <v>1.1699264166666701</v>
      </c>
      <c r="E683">
        <v>1.64281530472885E-3</v>
      </c>
      <c r="F683" t="s">
        <v>2522</v>
      </c>
    </row>
    <row r="684" spans="1:6" x14ac:dyDescent="0.3">
      <c r="A684" t="s">
        <v>2523</v>
      </c>
      <c r="B684" t="s">
        <v>2524</v>
      </c>
      <c r="C684">
        <v>57814</v>
      </c>
      <c r="D684">
        <v>1.1678569999999999</v>
      </c>
      <c r="E684">
        <v>4.71363683881856E-3</v>
      </c>
      <c r="F684" t="s">
        <v>2525</v>
      </c>
    </row>
    <row r="685" spans="1:6" x14ac:dyDescent="0.3">
      <c r="A685" t="s">
        <v>2526</v>
      </c>
      <c r="B685" t="s">
        <v>2527</v>
      </c>
      <c r="C685">
        <v>227644</v>
      </c>
      <c r="D685">
        <v>1.1672435833333401</v>
      </c>
      <c r="E685" s="1" t="s">
        <v>2528</v>
      </c>
      <c r="F685" t="s">
        <v>2529</v>
      </c>
    </row>
    <row r="686" spans="1:6" x14ac:dyDescent="0.3">
      <c r="A686" t="s">
        <v>2530</v>
      </c>
      <c r="B686" t="s">
        <v>2531</v>
      </c>
      <c r="C686">
        <v>19264</v>
      </c>
      <c r="D686">
        <v>1.1658495</v>
      </c>
      <c r="E686">
        <v>3.6081127989079399E-3</v>
      </c>
      <c r="F686" t="s">
        <v>2532</v>
      </c>
    </row>
    <row r="687" spans="1:6" x14ac:dyDescent="0.3">
      <c r="A687" t="s">
        <v>2533</v>
      </c>
      <c r="B687" t="s">
        <v>2534</v>
      </c>
      <c r="C687">
        <v>208263</v>
      </c>
      <c r="D687">
        <v>1.1646824166666701</v>
      </c>
      <c r="E687" s="1" t="s">
        <v>1841</v>
      </c>
      <c r="F687" t="s">
        <v>2535</v>
      </c>
    </row>
    <row r="688" spans="1:6" x14ac:dyDescent="0.3">
      <c r="A688" t="s">
        <v>2536</v>
      </c>
      <c r="B688" t="s">
        <v>2537</v>
      </c>
      <c r="C688">
        <v>18612</v>
      </c>
      <c r="D688">
        <v>1.16346358333333</v>
      </c>
      <c r="E688">
        <v>1.3392156384189601E-2</v>
      </c>
      <c r="F688" t="s">
        <v>2538</v>
      </c>
    </row>
    <row r="689" spans="1:6" x14ac:dyDescent="0.3">
      <c r="A689" t="s">
        <v>2539</v>
      </c>
      <c r="B689" t="s">
        <v>2540</v>
      </c>
      <c r="C689">
        <v>102595</v>
      </c>
      <c r="D689">
        <v>1.16345883333333</v>
      </c>
      <c r="E689" s="1" t="s">
        <v>2541</v>
      </c>
      <c r="F689" t="s">
        <v>2542</v>
      </c>
    </row>
    <row r="690" spans="1:6" x14ac:dyDescent="0.3">
      <c r="A690" t="s">
        <v>2543</v>
      </c>
      <c r="B690" t="s">
        <v>2544</v>
      </c>
      <c r="C690">
        <v>230379</v>
      </c>
      <c r="D690">
        <v>1.16097425</v>
      </c>
      <c r="E690">
        <v>3.7251022399647699E-2</v>
      </c>
      <c r="F690" t="s">
        <v>2545</v>
      </c>
    </row>
    <row r="691" spans="1:6" x14ac:dyDescent="0.3">
      <c r="A691" t="s">
        <v>2546</v>
      </c>
      <c r="B691" t="s">
        <v>2547</v>
      </c>
      <c r="C691">
        <v>12051</v>
      </c>
      <c r="D691">
        <v>1.15872975</v>
      </c>
      <c r="E691" s="1" t="s">
        <v>2548</v>
      </c>
      <c r="F691" t="s">
        <v>2549</v>
      </c>
    </row>
    <row r="692" spans="1:6" x14ac:dyDescent="0.3">
      <c r="A692" t="s">
        <v>2550</v>
      </c>
      <c r="B692" t="s">
        <v>2551</v>
      </c>
      <c r="C692">
        <v>73914</v>
      </c>
      <c r="D692">
        <v>1.1554974166666701</v>
      </c>
      <c r="E692">
        <v>5.8017645069874902E-3</v>
      </c>
      <c r="F692" t="s">
        <v>2552</v>
      </c>
    </row>
    <row r="693" spans="1:6" x14ac:dyDescent="0.3">
      <c r="A693" t="s">
        <v>2553</v>
      </c>
      <c r="B693" t="s">
        <v>2554</v>
      </c>
      <c r="C693">
        <v>12696</v>
      </c>
      <c r="D693">
        <v>1.1544237500000001</v>
      </c>
      <c r="E693">
        <v>2.09620050901421E-3</v>
      </c>
      <c r="F693" t="s">
        <v>2555</v>
      </c>
    </row>
    <row r="694" spans="1:6" x14ac:dyDescent="0.3">
      <c r="A694" t="s">
        <v>2556</v>
      </c>
      <c r="B694" t="s">
        <v>2557</v>
      </c>
      <c r="C694">
        <v>64138</v>
      </c>
      <c r="D694">
        <v>1.15429166666667</v>
      </c>
      <c r="E694">
        <v>9.2870371942102602E-4</v>
      </c>
      <c r="F694" t="s">
        <v>2558</v>
      </c>
    </row>
    <row r="695" spans="1:6" x14ac:dyDescent="0.3">
      <c r="A695" t="s">
        <v>2559</v>
      </c>
      <c r="B695" t="s">
        <v>2560</v>
      </c>
      <c r="C695">
        <v>246316</v>
      </c>
      <c r="D695">
        <v>1.1532564166666699</v>
      </c>
      <c r="E695">
        <v>5.7188753102833303E-3</v>
      </c>
      <c r="F695" t="s">
        <v>2561</v>
      </c>
    </row>
    <row r="696" spans="1:6" x14ac:dyDescent="0.3">
      <c r="A696" t="s">
        <v>2562</v>
      </c>
      <c r="B696" t="s">
        <v>2563</v>
      </c>
      <c r="C696">
        <v>19734</v>
      </c>
      <c r="D696">
        <v>1.1528764166666701</v>
      </c>
      <c r="E696">
        <v>9.7033312099901198E-3</v>
      </c>
      <c r="F696" t="s">
        <v>2564</v>
      </c>
    </row>
    <row r="697" spans="1:6" x14ac:dyDescent="0.3">
      <c r="A697" t="s">
        <v>2565</v>
      </c>
      <c r="B697" t="s">
        <v>2566</v>
      </c>
      <c r="C697">
        <v>13120</v>
      </c>
      <c r="D697">
        <v>1.14932691666667</v>
      </c>
      <c r="E697">
        <v>1.7980872074161499E-4</v>
      </c>
      <c r="F697" t="s">
        <v>2567</v>
      </c>
    </row>
    <row r="698" spans="1:6" x14ac:dyDescent="0.3">
      <c r="A698" t="s">
        <v>2568</v>
      </c>
      <c r="B698" t="s">
        <v>2569</v>
      </c>
      <c r="C698">
        <v>226169</v>
      </c>
      <c r="D698">
        <v>1.1473783333333301</v>
      </c>
      <c r="E698">
        <v>1.3998627547083699E-4</v>
      </c>
      <c r="F698" t="s">
        <v>2570</v>
      </c>
    </row>
    <row r="699" spans="1:6" x14ac:dyDescent="0.3">
      <c r="A699" t="s">
        <v>2571</v>
      </c>
      <c r="B699" t="s">
        <v>2572</v>
      </c>
      <c r="C699">
        <v>240084</v>
      </c>
      <c r="D699">
        <v>1.1468878333333301</v>
      </c>
      <c r="E699">
        <v>5.7341212067224003E-4</v>
      </c>
      <c r="F699" t="s">
        <v>2573</v>
      </c>
    </row>
    <row r="700" spans="1:6" x14ac:dyDescent="0.3">
      <c r="A700" t="s">
        <v>2574</v>
      </c>
      <c r="B700" t="s">
        <v>2575</v>
      </c>
      <c r="C700">
        <v>239667</v>
      </c>
      <c r="D700">
        <v>1.1463915</v>
      </c>
      <c r="E700">
        <v>1.1142634998838701E-3</v>
      </c>
      <c r="F700" t="s">
        <v>2576</v>
      </c>
    </row>
    <row r="701" spans="1:6" x14ac:dyDescent="0.3">
      <c r="A701" t="s">
        <v>2577</v>
      </c>
      <c r="B701" t="s">
        <v>2578</v>
      </c>
      <c r="C701">
        <v>18301</v>
      </c>
      <c r="D701">
        <v>1.1421559166666699</v>
      </c>
      <c r="E701">
        <v>3.0995089074684699E-2</v>
      </c>
      <c r="F701" t="s">
        <v>2579</v>
      </c>
    </row>
    <row r="702" spans="1:6" x14ac:dyDescent="0.3">
      <c r="A702" t="s">
        <v>2580</v>
      </c>
      <c r="B702" t="s">
        <v>2581</v>
      </c>
      <c r="C702">
        <v>18439</v>
      </c>
      <c r="D702">
        <v>1.1402827499999999</v>
      </c>
      <c r="E702">
        <v>7.5500669777040898E-3</v>
      </c>
      <c r="F702" t="s">
        <v>2582</v>
      </c>
    </row>
    <row r="703" spans="1:6" x14ac:dyDescent="0.3">
      <c r="A703" t="s">
        <v>2583</v>
      </c>
      <c r="B703" t="s">
        <v>2584</v>
      </c>
      <c r="C703">
        <v>74015</v>
      </c>
      <c r="D703">
        <v>1.13979891666667</v>
      </c>
      <c r="E703">
        <v>3.8214940719952198E-2</v>
      </c>
      <c r="F703" t="s">
        <v>2585</v>
      </c>
    </row>
    <row r="704" spans="1:6" x14ac:dyDescent="0.3">
      <c r="A704" t="s">
        <v>2586</v>
      </c>
      <c r="B704" t="s">
        <v>2587</v>
      </c>
      <c r="C704">
        <v>104009</v>
      </c>
      <c r="D704">
        <v>1.13760166666667</v>
      </c>
      <c r="E704">
        <v>3.7563088987633201E-3</v>
      </c>
      <c r="F704" t="s">
        <v>2588</v>
      </c>
    </row>
    <row r="705" spans="1:6" x14ac:dyDescent="0.3">
      <c r="A705" t="s">
        <v>2589</v>
      </c>
      <c r="B705" t="s">
        <v>2590</v>
      </c>
      <c r="C705">
        <v>110651</v>
      </c>
      <c r="D705">
        <v>1.1367244166666699</v>
      </c>
      <c r="E705">
        <v>4.2425747929312102E-4</v>
      </c>
      <c r="F705" t="s">
        <v>2591</v>
      </c>
    </row>
    <row r="706" spans="1:6" x14ac:dyDescent="0.3">
      <c r="A706" t="s">
        <v>2592</v>
      </c>
      <c r="B706" t="s">
        <v>2593</v>
      </c>
      <c r="C706">
        <v>12611</v>
      </c>
      <c r="D706">
        <v>1.1349846666666701</v>
      </c>
      <c r="E706" s="1" t="s">
        <v>2594</v>
      </c>
      <c r="F706" t="s">
        <v>2595</v>
      </c>
    </row>
    <row r="707" spans="1:6" x14ac:dyDescent="0.3">
      <c r="A707" t="s">
        <v>2596</v>
      </c>
      <c r="B707" t="s">
        <v>2597</v>
      </c>
      <c r="C707">
        <v>104027</v>
      </c>
      <c r="D707">
        <v>1.12836316666666</v>
      </c>
      <c r="E707">
        <v>4.5844237084919403E-3</v>
      </c>
      <c r="F707" t="s">
        <v>2598</v>
      </c>
    </row>
    <row r="708" spans="1:6" x14ac:dyDescent="0.3">
      <c r="A708" t="s">
        <v>2599</v>
      </c>
      <c r="B708" t="s">
        <v>2600</v>
      </c>
      <c r="C708">
        <v>69860</v>
      </c>
      <c r="D708">
        <v>1.1274281666666699</v>
      </c>
      <c r="E708">
        <v>4.2966160473538097E-3</v>
      </c>
      <c r="F708" t="s">
        <v>2601</v>
      </c>
    </row>
    <row r="709" spans="1:6" x14ac:dyDescent="0.3">
      <c r="A709" t="s">
        <v>2602</v>
      </c>
      <c r="B709" t="s">
        <v>2603</v>
      </c>
      <c r="C709">
        <v>225164</v>
      </c>
      <c r="D709">
        <v>1.12683308333333</v>
      </c>
      <c r="E709">
        <v>2.0603209109779701E-4</v>
      </c>
      <c r="F709" t="s">
        <v>2604</v>
      </c>
    </row>
    <row r="710" spans="1:6" x14ac:dyDescent="0.3">
      <c r="A710" t="s">
        <v>2605</v>
      </c>
      <c r="B710" t="s">
        <v>2606</v>
      </c>
      <c r="C710" t="s">
        <v>239</v>
      </c>
      <c r="D710">
        <v>1.1265592499999999</v>
      </c>
      <c r="E710">
        <v>1.7475988270021E-3</v>
      </c>
      <c r="F710" t="s">
        <v>2607</v>
      </c>
    </row>
    <row r="711" spans="1:6" x14ac:dyDescent="0.3">
      <c r="A711" t="s">
        <v>2608</v>
      </c>
      <c r="B711" t="s">
        <v>2609</v>
      </c>
      <c r="C711">
        <v>13014</v>
      </c>
      <c r="D711">
        <v>1.12485416666667</v>
      </c>
      <c r="E711" s="1" t="s">
        <v>2610</v>
      </c>
      <c r="F711" t="s">
        <v>2611</v>
      </c>
    </row>
    <row r="712" spans="1:6" x14ac:dyDescent="0.3">
      <c r="A712" t="s">
        <v>2612</v>
      </c>
      <c r="B712" t="s">
        <v>2613</v>
      </c>
      <c r="C712">
        <v>16890</v>
      </c>
      <c r="D712">
        <v>1.12299358333333</v>
      </c>
      <c r="E712" s="1" t="s">
        <v>2614</v>
      </c>
      <c r="F712" t="s">
        <v>2615</v>
      </c>
    </row>
    <row r="713" spans="1:6" x14ac:dyDescent="0.3">
      <c r="A713" t="s">
        <v>2616</v>
      </c>
      <c r="B713" t="s">
        <v>2617</v>
      </c>
      <c r="C713">
        <v>100910</v>
      </c>
      <c r="D713">
        <v>1.1227695</v>
      </c>
      <c r="E713">
        <v>5.6768342068602695E-4</v>
      </c>
      <c r="F713" t="s">
        <v>2618</v>
      </c>
    </row>
    <row r="714" spans="1:6" x14ac:dyDescent="0.3">
      <c r="A714" t="s">
        <v>2619</v>
      </c>
      <c r="B714" t="s">
        <v>2620</v>
      </c>
      <c r="C714">
        <v>433638</v>
      </c>
      <c r="D714">
        <v>1.12015158333333</v>
      </c>
      <c r="E714">
        <v>1.5786186364318999E-2</v>
      </c>
      <c r="F714" t="s">
        <v>2621</v>
      </c>
    </row>
    <row r="715" spans="1:6" x14ac:dyDescent="0.3">
      <c r="A715" t="s">
        <v>2622</v>
      </c>
      <c r="B715" t="s">
        <v>2623</v>
      </c>
      <c r="C715">
        <v>11536</v>
      </c>
      <c r="D715">
        <v>1.1196061666666699</v>
      </c>
      <c r="E715">
        <v>1.39317468789077E-2</v>
      </c>
      <c r="F715" t="s">
        <v>2624</v>
      </c>
    </row>
    <row r="716" spans="1:6" x14ac:dyDescent="0.3">
      <c r="A716" t="s">
        <v>2625</v>
      </c>
      <c r="B716" t="s">
        <v>2626</v>
      </c>
      <c r="C716">
        <v>81703</v>
      </c>
      <c r="D716">
        <v>1.1194301666666699</v>
      </c>
      <c r="E716" s="1" t="s">
        <v>2627</v>
      </c>
      <c r="F716" t="s">
        <v>2628</v>
      </c>
    </row>
    <row r="717" spans="1:6" x14ac:dyDescent="0.3">
      <c r="A717" t="s">
        <v>2629</v>
      </c>
      <c r="B717" t="s">
        <v>2630</v>
      </c>
      <c r="C717">
        <v>12579</v>
      </c>
      <c r="D717">
        <v>1.11868683333333</v>
      </c>
      <c r="E717">
        <v>3.48725026305567E-3</v>
      </c>
      <c r="F717" t="s">
        <v>2631</v>
      </c>
    </row>
    <row r="718" spans="1:6" x14ac:dyDescent="0.3">
      <c r="A718" t="s">
        <v>2632</v>
      </c>
      <c r="B718" t="s">
        <v>2633</v>
      </c>
      <c r="C718">
        <v>60440</v>
      </c>
      <c r="D718">
        <v>1.1175567500000001</v>
      </c>
      <c r="E718">
        <v>8.6902951774353501E-3</v>
      </c>
      <c r="F718" t="s">
        <v>2634</v>
      </c>
    </row>
    <row r="719" spans="1:6" x14ac:dyDescent="0.3">
      <c r="A719" t="s">
        <v>2635</v>
      </c>
      <c r="B719" t="s">
        <v>2636</v>
      </c>
      <c r="C719">
        <v>80281</v>
      </c>
      <c r="D719">
        <v>1.1156058333333401</v>
      </c>
      <c r="E719">
        <v>4.9419630020070904E-4</v>
      </c>
      <c r="F719" t="s">
        <v>2637</v>
      </c>
    </row>
    <row r="720" spans="1:6" x14ac:dyDescent="0.3">
      <c r="A720" t="s">
        <v>2638</v>
      </c>
      <c r="B720" t="s">
        <v>2639</v>
      </c>
      <c r="C720">
        <v>56289</v>
      </c>
      <c r="D720">
        <v>1.115405</v>
      </c>
      <c r="E720">
        <v>3.1854671292337699E-3</v>
      </c>
      <c r="F720" t="s">
        <v>2640</v>
      </c>
    </row>
    <row r="721" spans="1:6" x14ac:dyDescent="0.3">
      <c r="A721" t="s">
        <v>2641</v>
      </c>
      <c r="B721" t="s">
        <v>2642</v>
      </c>
      <c r="C721">
        <v>12475</v>
      </c>
      <c r="D721">
        <v>1.1148248333333299</v>
      </c>
      <c r="E721">
        <v>1.8311721190414999E-2</v>
      </c>
      <c r="F721" t="s">
        <v>2643</v>
      </c>
    </row>
    <row r="722" spans="1:6" x14ac:dyDescent="0.3">
      <c r="A722" t="s">
        <v>2644</v>
      </c>
      <c r="B722" t="s">
        <v>2645</v>
      </c>
      <c r="C722">
        <v>53603</v>
      </c>
      <c r="D722">
        <v>1.1147907500000001</v>
      </c>
      <c r="E722">
        <v>8.3813829507796093E-3</v>
      </c>
      <c r="F722" t="s">
        <v>2646</v>
      </c>
    </row>
    <row r="723" spans="1:6" x14ac:dyDescent="0.3">
      <c r="A723" t="s">
        <v>2647</v>
      </c>
      <c r="B723" t="s">
        <v>2648</v>
      </c>
      <c r="C723">
        <v>50928</v>
      </c>
      <c r="D723">
        <v>1.1146859166666701</v>
      </c>
      <c r="E723">
        <v>2.2793233734450899E-2</v>
      </c>
      <c r="F723" t="s">
        <v>2649</v>
      </c>
    </row>
    <row r="724" spans="1:6" x14ac:dyDescent="0.3">
      <c r="A724" t="s">
        <v>2650</v>
      </c>
      <c r="B724" t="s">
        <v>2651</v>
      </c>
      <c r="C724">
        <v>17951</v>
      </c>
      <c r="D724">
        <v>1.1140862499999999</v>
      </c>
      <c r="E724">
        <v>1.6012784985302599E-2</v>
      </c>
      <c r="F724" t="s">
        <v>2652</v>
      </c>
    </row>
    <row r="725" spans="1:6" x14ac:dyDescent="0.3">
      <c r="A725" t="s">
        <v>2653</v>
      </c>
      <c r="B725" t="s">
        <v>2654</v>
      </c>
      <c r="C725">
        <v>65963</v>
      </c>
      <c r="D725">
        <v>1.1103053333333299</v>
      </c>
      <c r="E725">
        <v>9.2674534348859497E-4</v>
      </c>
      <c r="F725" t="s">
        <v>2655</v>
      </c>
    </row>
    <row r="726" spans="1:6" x14ac:dyDescent="0.3">
      <c r="A726" t="s">
        <v>2656</v>
      </c>
      <c r="B726" t="s">
        <v>2657</v>
      </c>
      <c r="C726">
        <v>12608</v>
      </c>
      <c r="D726">
        <v>1.10882833333334</v>
      </c>
      <c r="E726" s="1" t="s">
        <v>2658</v>
      </c>
      <c r="F726" t="s">
        <v>2659</v>
      </c>
    </row>
    <row r="727" spans="1:6" x14ac:dyDescent="0.3">
      <c r="A727" t="s">
        <v>2660</v>
      </c>
      <c r="B727" t="s">
        <v>2661</v>
      </c>
      <c r="C727">
        <v>12512</v>
      </c>
      <c r="D727">
        <v>1.1067041666666699</v>
      </c>
      <c r="E727">
        <v>2.42406040823344E-4</v>
      </c>
      <c r="F727" t="s">
        <v>2662</v>
      </c>
    </row>
    <row r="728" spans="1:6" x14ac:dyDescent="0.3">
      <c r="A728" t="s">
        <v>2663</v>
      </c>
      <c r="B728" t="s">
        <v>2664</v>
      </c>
      <c r="C728">
        <v>76080</v>
      </c>
      <c r="D728">
        <v>1.10663175</v>
      </c>
      <c r="E728">
        <v>9.7081820948182905E-4</v>
      </c>
      <c r="F728" t="s">
        <v>2665</v>
      </c>
    </row>
    <row r="729" spans="1:6" x14ac:dyDescent="0.3">
      <c r="A729" t="s">
        <v>2666</v>
      </c>
      <c r="B729" t="s">
        <v>2667</v>
      </c>
      <c r="C729">
        <v>57773</v>
      </c>
      <c r="D729">
        <v>1.1054107500000001</v>
      </c>
      <c r="E729">
        <v>2.9307404409273499E-4</v>
      </c>
      <c r="F729" t="s">
        <v>2668</v>
      </c>
    </row>
    <row r="730" spans="1:6" x14ac:dyDescent="0.3">
      <c r="A730" t="s">
        <v>2669</v>
      </c>
      <c r="B730" t="s">
        <v>2670</v>
      </c>
      <c r="C730">
        <v>16763</v>
      </c>
      <c r="D730">
        <v>1.10489691666667</v>
      </c>
      <c r="E730">
        <v>1.43271860158824E-2</v>
      </c>
      <c r="F730" t="s">
        <v>2671</v>
      </c>
    </row>
    <row r="731" spans="1:6" x14ac:dyDescent="0.3">
      <c r="A731" t="s">
        <v>2672</v>
      </c>
      <c r="B731" t="s">
        <v>2673</v>
      </c>
      <c r="C731">
        <v>75751</v>
      </c>
      <c r="D731">
        <v>1.104498</v>
      </c>
      <c r="E731">
        <v>3.7324644910166398E-2</v>
      </c>
      <c r="F731" t="s">
        <v>2674</v>
      </c>
    </row>
    <row r="732" spans="1:6" x14ac:dyDescent="0.3">
      <c r="A732" t="s">
        <v>2675</v>
      </c>
      <c r="B732" t="s">
        <v>2676</v>
      </c>
      <c r="C732">
        <v>30877</v>
      </c>
      <c r="D732">
        <v>1.103934</v>
      </c>
      <c r="E732">
        <v>1.00073334670115E-3</v>
      </c>
      <c r="F732" t="s">
        <v>2677</v>
      </c>
    </row>
    <row r="733" spans="1:6" x14ac:dyDescent="0.3">
      <c r="A733" t="s">
        <v>2678</v>
      </c>
      <c r="B733" t="s">
        <v>2679</v>
      </c>
      <c r="C733">
        <v>16190</v>
      </c>
      <c r="D733">
        <v>1.1013089166666701</v>
      </c>
      <c r="E733">
        <v>6.8504984176141004E-3</v>
      </c>
      <c r="F733" t="s">
        <v>2680</v>
      </c>
    </row>
    <row r="734" spans="1:6" x14ac:dyDescent="0.3">
      <c r="A734" t="s">
        <v>2681</v>
      </c>
      <c r="B734" t="s">
        <v>2682</v>
      </c>
      <c r="C734">
        <v>75452</v>
      </c>
      <c r="D734">
        <v>1.0970054166666701</v>
      </c>
      <c r="E734">
        <v>1.54520870075739E-2</v>
      </c>
      <c r="F734" t="s">
        <v>2683</v>
      </c>
    </row>
    <row r="735" spans="1:6" x14ac:dyDescent="0.3">
      <c r="A735" t="s">
        <v>2684</v>
      </c>
      <c r="B735" t="s">
        <v>2685</v>
      </c>
      <c r="C735">
        <v>317677</v>
      </c>
      <c r="D735">
        <v>1.0950234999999999</v>
      </c>
      <c r="E735">
        <v>1.6689492608348601E-2</v>
      </c>
      <c r="F735" t="s">
        <v>2686</v>
      </c>
    </row>
    <row r="736" spans="1:6" x14ac:dyDescent="0.3">
      <c r="A736" t="s">
        <v>2687</v>
      </c>
      <c r="B736" t="s">
        <v>2688</v>
      </c>
      <c r="C736">
        <v>17698</v>
      </c>
      <c r="D736">
        <v>1.0942878333333299</v>
      </c>
      <c r="E736" s="1" t="s">
        <v>2689</v>
      </c>
      <c r="F736" t="s">
        <v>2690</v>
      </c>
    </row>
    <row r="737" spans="1:6" x14ac:dyDescent="0.3">
      <c r="A737" t="s">
        <v>2691</v>
      </c>
      <c r="B737" t="s">
        <v>2692</v>
      </c>
      <c r="C737">
        <v>64297</v>
      </c>
      <c r="D737">
        <v>1.09257941666667</v>
      </c>
      <c r="E737">
        <v>6.1142338510223396E-3</v>
      </c>
      <c r="F737" t="s">
        <v>2693</v>
      </c>
    </row>
    <row r="738" spans="1:6" x14ac:dyDescent="0.3">
      <c r="A738" t="s">
        <v>2694</v>
      </c>
      <c r="B738" t="s">
        <v>2695</v>
      </c>
      <c r="C738">
        <v>13649</v>
      </c>
      <c r="D738">
        <v>1.0925775</v>
      </c>
      <c r="E738">
        <v>2.6924998467744402E-3</v>
      </c>
      <c r="F738" t="s">
        <v>2696</v>
      </c>
    </row>
    <row r="739" spans="1:6" x14ac:dyDescent="0.3">
      <c r="A739" t="s">
        <v>2697</v>
      </c>
      <c r="B739" t="s">
        <v>2698</v>
      </c>
      <c r="C739">
        <v>17174</v>
      </c>
      <c r="D739">
        <v>1.0924800833333299</v>
      </c>
      <c r="E739" s="1" t="s">
        <v>2699</v>
      </c>
      <c r="F739" t="s">
        <v>2700</v>
      </c>
    </row>
    <row r="740" spans="1:6" x14ac:dyDescent="0.3">
      <c r="A740" t="s">
        <v>2701</v>
      </c>
      <c r="B740" t="s">
        <v>2702</v>
      </c>
      <c r="C740">
        <v>381823</v>
      </c>
      <c r="D740">
        <v>1.0922064166666701</v>
      </c>
      <c r="E740">
        <v>1.7178287880253901E-2</v>
      </c>
      <c r="F740" t="s">
        <v>2703</v>
      </c>
    </row>
    <row r="741" spans="1:6" x14ac:dyDescent="0.3">
      <c r="A741" t="s">
        <v>2704</v>
      </c>
      <c r="B741" t="s">
        <v>2705</v>
      </c>
      <c r="C741">
        <v>18481</v>
      </c>
      <c r="D741">
        <v>1.0917165</v>
      </c>
      <c r="E741">
        <v>6.1338217010971198E-3</v>
      </c>
      <c r="F741" t="s">
        <v>2706</v>
      </c>
    </row>
    <row r="742" spans="1:6" x14ac:dyDescent="0.3">
      <c r="A742" t="s">
        <v>2707</v>
      </c>
      <c r="B742" t="s">
        <v>2708</v>
      </c>
      <c r="C742">
        <v>16409</v>
      </c>
      <c r="D742">
        <v>1.0915810833333299</v>
      </c>
      <c r="E742">
        <v>2.3816620429843701E-3</v>
      </c>
      <c r="F742" t="s">
        <v>2709</v>
      </c>
    </row>
    <row r="743" spans="1:6" x14ac:dyDescent="0.3">
      <c r="A743" t="s">
        <v>2710</v>
      </c>
      <c r="B743" t="s">
        <v>2711</v>
      </c>
      <c r="C743">
        <v>13557</v>
      </c>
      <c r="D743">
        <v>1.0895005</v>
      </c>
      <c r="E743">
        <v>4.4093521186556904E-3</v>
      </c>
      <c r="F743" t="s">
        <v>2712</v>
      </c>
    </row>
    <row r="744" spans="1:6" x14ac:dyDescent="0.3">
      <c r="A744" t="s">
        <v>2713</v>
      </c>
      <c r="B744" t="s">
        <v>2714</v>
      </c>
      <c r="C744">
        <v>11736</v>
      </c>
      <c r="D744">
        <v>1.0875094999999999</v>
      </c>
      <c r="E744">
        <v>2.97221789318102E-4</v>
      </c>
      <c r="F744" t="s">
        <v>2715</v>
      </c>
    </row>
    <row r="745" spans="1:6" x14ac:dyDescent="0.3">
      <c r="A745" t="s">
        <v>2716</v>
      </c>
      <c r="B745" t="s">
        <v>2716</v>
      </c>
      <c r="C745" t="s">
        <v>239</v>
      </c>
      <c r="D745">
        <v>1.0870029999999999</v>
      </c>
      <c r="E745">
        <v>2.2323191243043401E-2</v>
      </c>
      <c r="F745" t="s">
        <v>239</v>
      </c>
    </row>
    <row r="746" spans="1:6" x14ac:dyDescent="0.3">
      <c r="A746" t="s">
        <v>2717</v>
      </c>
      <c r="B746" t="s">
        <v>2718</v>
      </c>
      <c r="C746">
        <v>76889</v>
      </c>
      <c r="D746">
        <v>1.0842498333333299</v>
      </c>
      <c r="E746" s="1" t="s">
        <v>1653</v>
      </c>
      <c r="F746" t="s">
        <v>2719</v>
      </c>
    </row>
    <row r="747" spans="1:6" x14ac:dyDescent="0.3">
      <c r="A747" t="s">
        <v>84</v>
      </c>
      <c r="B747" t="s">
        <v>83</v>
      </c>
      <c r="C747">
        <v>16963</v>
      </c>
      <c r="D747">
        <v>1.08315275</v>
      </c>
      <c r="E747">
        <v>2.32376992544314E-2</v>
      </c>
      <c r="F747" t="s">
        <v>2720</v>
      </c>
    </row>
    <row r="748" spans="1:6" x14ac:dyDescent="0.3">
      <c r="A748" t="s">
        <v>2721</v>
      </c>
      <c r="B748" t="s">
        <v>2722</v>
      </c>
      <c r="C748">
        <v>212531</v>
      </c>
      <c r="D748">
        <v>1.0802986666666701</v>
      </c>
      <c r="E748">
        <v>3.0830466885048799E-2</v>
      </c>
      <c r="F748" t="s">
        <v>2723</v>
      </c>
    </row>
    <row r="749" spans="1:6" x14ac:dyDescent="0.3">
      <c r="A749" t="s">
        <v>2724</v>
      </c>
      <c r="B749" t="s">
        <v>2725</v>
      </c>
      <c r="C749">
        <v>71660</v>
      </c>
      <c r="D749">
        <v>1.0788125</v>
      </c>
      <c r="E749">
        <v>4.8756721680248498E-4</v>
      </c>
      <c r="F749" t="s">
        <v>2726</v>
      </c>
    </row>
    <row r="750" spans="1:6" x14ac:dyDescent="0.3">
      <c r="A750" t="s">
        <v>2727</v>
      </c>
      <c r="B750" t="s">
        <v>2728</v>
      </c>
      <c r="C750">
        <v>64099</v>
      </c>
      <c r="D750">
        <v>1.0786962499999999</v>
      </c>
      <c r="E750">
        <v>7.9277574104086295E-3</v>
      </c>
      <c r="F750" t="s">
        <v>2729</v>
      </c>
    </row>
    <row r="751" spans="1:6" x14ac:dyDescent="0.3">
      <c r="A751" t="s">
        <v>2730</v>
      </c>
      <c r="B751" t="s">
        <v>2731</v>
      </c>
      <c r="C751">
        <v>215632</v>
      </c>
      <c r="D751">
        <v>1.07841766666667</v>
      </c>
      <c r="E751">
        <v>1.03597919711004E-2</v>
      </c>
      <c r="F751" t="s">
        <v>2732</v>
      </c>
    </row>
    <row r="752" spans="1:6" x14ac:dyDescent="0.3">
      <c r="A752" t="s">
        <v>2733</v>
      </c>
      <c r="B752" t="s">
        <v>2734</v>
      </c>
      <c r="C752">
        <v>53611</v>
      </c>
      <c r="D752">
        <v>1.0767326666666699</v>
      </c>
      <c r="E752">
        <v>1.29697136464323E-3</v>
      </c>
      <c r="F752" t="s">
        <v>2735</v>
      </c>
    </row>
    <row r="753" spans="1:6" x14ac:dyDescent="0.3">
      <c r="A753" t="s">
        <v>2736</v>
      </c>
      <c r="B753" t="s">
        <v>2737</v>
      </c>
      <c r="C753">
        <v>11668</v>
      </c>
      <c r="D753">
        <v>1.0762401666666701</v>
      </c>
      <c r="E753">
        <v>9.0641792644066102E-4</v>
      </c>
      <c r="F753" t="s">
        <v>2738</v>
      </c>
    </row>
    <row r="754" spans="1:6" x14ac:dyDescent="0.3">
      <c r="A754" t="s">
        <v>2739</v>
      </c>
      <c r="B754" t="s">
        <v>2740</v>
      </c>
      <c r="C754">
        <v>102334</v>
      </c>
      <c r="D754">
        <v>1.07599658333333</v>
      </c>
      <c r="E754">
        <v>5.6435508906609597E-4</v>
      </c>
      <c r="F754" t="s">
        <v>2741</v>
      </c>
    </row>
    <row r="755" spans="1:6" x14ac:dyDescent="0.3">
      <c r="A755" t="s">
        <v>2742</v>
      </c>
      <c r="B755" t="s">
        <v>2743</v>
      </c>
      <c r="C755">
        <v>17873</v>
      </c>
      <c r="D755">
        <v>1.0754319166666699</v>
      </c>
      <c r="E755">
        <v>9.58881526351818E-3</v>
      </c>
      <c r="F755" t="s">
        <v>2744</v>
      </c>
    </row>
    <row r="756" spans="1:6" x14ac:dyDescent="0.3">
      <c r="A756" t="s">
        <v>2745</v>
      </c>
      <c r="B756" t="s">
        <v>2746</v>
      </c>
      <c r="C756">
        <v>97961</v>
      </c>
      <c r="D756">
        <v>1.0744198333333299</v>
      </c>
      <c r="E756">
        <v>4.1470678421990601E-4</v>
      </c>
      <c r="F756" t="s">
        <v>2747</v>
      </c>
    </row>
    <row r="757" spans="1:6" x14ac:dyDescent="0.3">
      <c r="A757" t="s">
        <v>2748</v>
      </c>
      <c r="B757" t="s">
        <v>2749</v>
      </c>
      <c r="C757">
        <v>17948</v>
      </c>
      <c r="D757">
        <v>1.0740444166666701</v>
      </c>
      <c r="E757">
        <v>1.2426553123922501E-2</v>
      </c>
      <c r="F757" t="s">
        <v>2750</v>
      </c>
    </row>
    <row r="758" spans="1:6" x14ac:dyDescent="0.3">
      <c r="A758" t="s">
        <v>2751</v>
      </c>
      <c r="B758" t="s">
        <v>2752</v>
      </c>
      <c r="C758">
        <v>12223</v>
      </c>
      <c r="D758">
        <v>1.0730765</v>
      </c>
      <c r="E758">
        <v>2.88909518327096E-3</v>
      </c>
      <c r="F758" t="s">
        <v>2753</v>
      </c>
    </row>
    <row r="759" spans="1:6" x14ac:dyDescent="0.3">
      <c r="A759" t="s">
        <v>2754</v>
      </c>
      <c r="B759" t="s">
        <v>2755</v>
      </c>
      <c r="C759">
        <v>19696</v>
      </c>
      <c r="D759">
        <v>1.07179175</v>
      </c>
      <c r="E759">
        <v>1.0767527981255E-4</v>
      </c>
      <c r="F759" t="s">
        <v>2756</v>
      </c>
    </row>
    <row r="760" spans="1:6" x14ac:dyDescent="0.3">
      <c r="A760" t="s">
        <v>2757</v>
      </c>
      <c r="B760" t="s">
        <v>2758</v>
      </c>
      <c r="C760">
        <v>17190</v>
      </c>
      <c r="D760">
        <v>1.07153233333333</v>
      </c>
      <c r="E760" s="1" t="s">
        <v>1969</v>
      </c>
      <c r="F760" t="s">
        <v>2759</v>
      </c>
    </row>
    <row r="761" spans="1:6" x14ac:dyDescent="0.3">
      <c r="A761" t="s">
        <v>2760</v>
      </c>
      <c r="B761" t="s">
        <v>2760</v>
      </c>
      <c r="C761" t="s">
        <v>239</v>
      </c>
      <c r="D761">
        <v>1.07144841666667</v>
      </c>
      <c r="E761">
        <v>4.09240199123731E-3</v>
      </c>
      <c r="F761" t="s">
        <v>239</v>
      </c>
    </row>
    <row r="762" spans="1:6" x14ac:dyDescent="0.3">
      <c r="A762" t="s">
        <v>2761</v>
      </c>
      <c r="B762" t="s">
        <v>2762</v>
      </c>
      <c r="C762">
        <v>235320</v>
      </c>
      <c r="D762">
        <v>1.0697539166666701</v>
      </c>
      <c r="E762">
        <v>7.74032110032301E-3</v>
      </c>
      <c r="F762" t="s">
        <v>2763</v>
      </c>
    </row>
    <row r="763" spans="1:6" x14ac:dyDescent="0.3">
      <c r="A763" t="s">
        <v>2764</v>
      </c>
      <c r="B763" t="s">
        <v>2765</v>
      </c>
      <c r="C763">
        <v>268749</v>
      </c>
      <c r="D763">
        <v>1.06968475</v>
      </c>
      <c r="E763" s="1" t="s">
        <v>1063</v>
      </c>
      <c r="F763" t="s">
        <v>2766</v>
      </c>
    </row>
    <row r="764" spans="1:6" x14ac:dyDescent="0.3">
      <c r="A764" t="s">
        <v>2767</v>
      </c>
      <c r="B764" t="s">
        <v>2768</v>
      </c>
      <c r="C764">
        <v>66042</v>
      </c>
      <c r="D764">
        <v>1.06590616666667</v>
      </c>
      <c r="E764">
        <v>6.3893285512568202E-3</v>
      </c>
      <c r="F764" t="s">
        <v>2769</v>
      </c>
    </row>
    <row r="765" spans="1:6" x14ac:dyDescent="0.3">
      <c r="A765" t="s">
        <v>2770</v>
      </c>
      <c r="B765" t="s">
        <v>2771</v>
      </c>
      <c r="C765">
        <v>55963</v>
      </c>
      <c r="D765">
        <v>1.06492075</v>
      </c>
      <c r="E765">
        <v>1.75250133483284E-2</v>
      </c>
      <c r="F765" t="s">
        <v>2772</v>
      </c>
    </row>
    <row r="766" spans="1:6" x14ac:dyDescent="0.3">
      <c r="A766" t="s">
        <v>2773</v>
      </c>
      <c r="B766" t="s">
        <v>2774</v>
      </c>
      <c r="C766">
        <v>404289</v>
      </c>
      <c r="D766">
        <v>1.062954</v>
      </c>
      <c r="E766">
        <v>7.9951209287375796E-3</v>
      </c>
      <c r="F766" t="s">
        <v>2775</v>
      </c>
    </row>
    <row r="767" spans="1:6" x14ac:dyDescent="0.3">
      <c r="A767" t="s">
        <v>2776</v>
      </c>
      <c r="B767" t="s">
        <v>2777</v>
      </c>
      <c r="C767">
        <v>108105</v>
      </c>
      <c r="D767">
        <v>1.06271125</v>
      </c>
      <c r="E767">
        <v>4.5034187103616099E-4</v>
      </c>
      <c r="F767" t="s">
        <v>2778</v>
      </c>
    </row>
    <row r="768" spans="1:6" x14ac:dyDescent="0.3">
      <c r="A768" t="s">
        <v>2779</v>
      </c>
      <c r="B768" t="s">
        <v>2780</v>
      </c>
      <c r="C768">
        <v>239743</v>
      </c>
      <c r="D768">
        <v>1.0619624166666699</v>
      </c>
      <c r="E768">
        <v>2.3756711118697298E-3</v>
      </c>
      <c r="F768" t="s">
        <v>2781</v>
      </c>
    </row>
    <row r="769" spans="1:6" x14ac:dyDescent="0.3">
      <c r="A769" t="s">
        <v>2782</v>
      </c>
      <c r="B769" t="s">
        <v>2783</v>
      </c>
      <c r="C769">
        <v>22782</v>
      </c>
      <c r="D769">
        <v>1.0611139166666701</v>
      </c>
      <c r="E769" s="1" t="s">
        <v>2784</v>
      </c>
      <c r="F769" t="s">
        <v>2785</v>
      </c>
    </row>
    <row r="770" spans="1:6" x14ac:dyDescent="0.3">
      <c r="A770" t="s">
        <v>2786</v>
      </c>
      <c r="B770" t="s">
        <v>2787</v>
      </c>
      <c r="C770">
        <v>27392</v>
      </c>
      <c r="D770">
        <v>1.0609186666666699</v>
      </c>
      <c r="E770">
        <v>7.1551024376183599E-3</v>
      </c>
      <c r="F770" t="s">
        <v>2788</v>
      </c>
    </row>
    <row r="771" spans="1:6" x14ac:dyDescent="0.3">
      <c r="A771" t="s">
        <v>2789</v>
      </c>
      <c r="B771" t="s">
        <v>2790</v>
      </c>
      <c r="C771">
        <v>27214</v>
      </c>
      <c r="D771">
        <v>1.0603576666666701</v>
      </c>
      <c r="E771">
        <v>2.01636987429827E-4</v>
      </c>
      <c r="F771" t="s">
        <v>2791</v>
      </c>
    </row>
    <row r="772" spans="1:6" x14ac:dyDescent="0.3">
      <c r="A772" t="s">
        <v>2792</v>
      </c>
      <c r="B772" t="s">
        <v>2793</v>
      </c>
      <c r="C772">
        <v>14702</v>
      </c>
      <c r="D772">
        <v>1.05912741666667</v>
      </c>
      <c r="E772">
        <v>1.81259808042963E-2</v>
      </c>
      <c r="F772" t="s">
        <v>2794</v>
      </c>
    </row>
    <row r="773" spans="1:6" x14ac:dyDescent="0.3">
      <c r="A773" t="s">
        <v>2795</v>
      </c>
      <c r="B773" t="s">
        <v>2796</v>
      </c>
      <c r="C773">
        <v>22184</v>
      </c>
      <c r="D773">
        <v>1.0557045</v>
      </c>
      <c r="E773">
        <v>1.4006397939951001E-4</v>
      </c>
      <c r="F773" t="s">
        <v>2797</v>
      </c>
    </row>
    <row r="774" spans="1:6" x14ac:dyDescent="0.3">
      <c r="A774" t="s">
        <v>2798</v>
      </c>
      <c r="B774" t="s">
        <v>2799</v>
      </c>
      <c r="C774">
        <v>235036</v>
      </c>
      <c r="D774">
        <v>1.054729</v>
      </c>
      <c r="E774">
        <v>3.2079362516074399E-2</v>
      </c>
      <c r="F774" t="s">
        <v>2800</v>
      </c>
    </row>
    <row r="775" spans="1:6" x14ac:dyDescent="0.3">
      <c r="A775" t="s">
        <v>2801</v>
      </c>
      <c r="B775" t="s">
        <v>2802</v>
      </c>
      <c r="C775">
        <v>108954</v>
      </c>
      <c r="D775">
        <v>1.053377</v>
      </c>
      <c r="E775">
        <v>1.4472818800582E-2</v>
      </c>
      <c r="F775" t="s">
        <v>2803</v>
      </c>
    </row>
    <row r="776" spans="1:6" x14ac:dyDescent="0.3">
      <c r="A776" t="s">
        <v>2804</v>
      </c>
      <c r="B776" t="s">
        <v>2805</v>
      </c>
      <c r="C776">
        <v>19324</v>
      </c>
      <c r="D776">
        <v>1.0507934999999999</v>
      </c>
      <c r="E776">
        <v>1.31374200378377E-2</v>
      </c>
      <c r="F776" t="s">
        <v>2806</v>
      </c>
    </row>
    <row r="777" spans="1:6" x14ac:dyDescent="0.3">
      <c r="A777" t="s">
        <v>2807</v>
      </c>
      <c r="B777" t="s">
        <v>2808</v>
      </c>
      <c r="C777">
        <v>67776</v>
      </c>
      <c r="D777">
        <v>1.04815366666667</v>
      </c>
      <c r="E777">
        <v>7.3456977433886898E-4</v>
      </c>
      <c r="F777" t="s">
        <v>2809</v>
      </c>
    </row>
    <row r="778" spans="1:6" x14ac:dyDescent="0.3">
      <c r="A778" t="s">
        <v>2810</v>
      </c>
      <c r="B778" t="s">
        <v>2811</v>
      </c>
      <c r="C778">
        <v>14184</v>
      </c>
      <c r="D778">
        <v>1.0476426666666701</v>
      </c>
      <c r="E778">
        <v>2.2873273718135301E-3</v>
      </c>
      <c r="F778" t="s">
        <v>2812</v>
      </c>
    </row>
    <row r="779" spans="1:6" x14ac:dyDescent="0.3">
      <c r="A779" t="s">
        <v>2813</v>
      </c>
      <c r="B779" t="s">
        <v>2814</v>
      </c>
      <c r="C779">
        <v>101612</v>
      </c>
      <c r="D779">
        <v>1.04565508333333</v>
      </c>
      <c r="E779" s="1" t="s">
        <v>2815</v>
      </c>
      <c r="F779" t="s">
        <v>2816</v>
      </c>
    </row>
    <row r="780" spans="1:6" x14ac:dyDescent="0.3">
      <c r="A780" t="s">
        <v>2817</v>
      </c>
      <c r="B780" t="s">
        <v>2818</v>
      </c>
      <c r="C780">
        <v>72297</v>
      </c>
      <c r="D780">
        <v>1.0447358333333301</v>
      </c>
      <c r="E780" s="1" t="s">
        <v>1276</v>
      </c>
      <c r="F780" t="s">
        <v>2819</v>
      </c>
    </row>
    <row r="781" spans="1:6" x14ac:dyDescent="0.3">
      <c r="A781" t="s">
        <v>2820</v>
      </c>
      <c r="B781" t="s">
        <v>2821</v>
      </c>
      <c r="C781">
        <v>26448</v>
      </c>
      <c r="D781">
        <v>1.0437620833333301</v>
      </c>
      <c r="E781">
        <v>1.06720885973392E-2</v>
      </c>
      <c r="F781" t="s">
        <v>2822</v>
      </c>
    </row>
    <row r="782" spans="1:6" x14ac:dyDescent="0.3">
      <c r="A782" t="s">
        <v>2823</v>
      </c>
      <c r="B782" t="s">
        <v>2824</v>
      </c>
      <c r="C782">
        <v>14011</v>
      </c>
      <c r="D782">
        <v>1.0436290833333299</v>
      </c>
      <c r="E782">
        <v>7.1886654778914498E-3</v>
      </c>
      <c r="F782" t="s">
        <v>2825</v>
      </c>
    </row>
    <row r="783" spans="1:6" x14ac:dyDescent="0.3">
      <c r="A783" t="s">
        <v>2826</v>
      </c>
      <c r="B783" t="s">
        <v>2827</v>
      </c>
      <c r="C783">
        <v>12370</v>
      </c>
      <c r="D783">
        <v>1.0425010833333299</v>
      </c>
      <c r="E783" s="1" t="s">
        <v>2548</v>
      </c>
      <c r="F783" t="s">
        <v>2828</v>
      </c>
    </row>
    <row r="784" spans="1:6" x14ac:dyDescent="0.3">
      <c r="A784" t="s">
        <v>2829</v>
      </c>
      <c r="B784" t="s">
        <v>2830</v>
      </c>
      <c r="C784">
        <v>231861</v>
      </c>
      <c r="D784">
        <v>1.03959783333334</v>
      </c>
      <c r="E784">
        <v>7.4390304351307102E-3</v>
      </c>
      <c r="F784" t="s">
        <v>2831</v>
      </c>
    </row>
    <row r="785" spans="1:6" x14ac:dyDescent="0.3">
      <c r="A785" t="s">
        <v>140</v>
      </c>
      <c r="B785" t="s">
        <v>139</v>
      </c>
      <c r="C785">
        <v>22035</v>
      </c>
      <c r="D785">
        <v>1.0386314999999999</v>
      </c>
      <c r="E785">
        <v>5.1391863059161596E-4</v>
      </c>
      <c r="F785" t="s">
        <v>2832</v>
      </c>
    </row>
    <row r="786" spans="1:6" x14ac:dyDescent="0.3">
      <c r="A786" t="s">
        <v>2833</v>
      </c>
      <c r="B786" t="s">
        <v>2834</v>
      </c>
      <c r="C786">
        <v>21808</v>
      </c>
      <c r="D786">
        <v>1.0385868333333299</v>
      </c>
      <c r="E786">
        <v>2.2267593635371698E-2</v>
      </c>
      <c r="F786" t="s">
        <v>2835</v>
      </c>
    </row>
    <row r="787" spans="1:6" x14ac:dyDescent="0.3">
      <c r="A787" t="s">
        <v>2836</v>
      </c>
      <c r="B787" t="s">
        <v>2837</v>
      </c>
      <c r="C787">
        <v>217732</v>
      </c>
      <c r="D787">
        <v>1.0356367500000001</v>
      </c>
      <c r="E787">
        <v>2.7177125728068399E-3</v>
      </c>
      <c r="F787" t="s">
        <v>2838</v>
      </c>
    </row>
    <row r="788" spans="1:6" x14ac:dyDescent="0.3">
      <c r="A788" t="s">
        <v>2839</v>
      </c>
      <c r="B788" t="s">
        <v>2840</v>
      </c>
      <c r="C788">
        <v>170744</v>
      </c>
      <c r="D788">
        <v>1.03503266666667</v>
      </c>
      <c r="E788">
        <v>6.5135040121088903E-4</v>
      </c>
      <c r="F788" t="s">
        <v>2841</v>
      </c>
    </row>
    <row r="789" spans="1:6" x14ac:dyDescent="0.3">
      <c r="A789" t="s">
        <v>2842</v>
      </c>
      <c r="B789" t="s">
        <v>2843</v>
      </c>
      <c r="C789">
        <v>52118</v>
      </c>
      <c r="D789">
        <v>1.03320891666667</v>
      </c>
      <c r="E789" s="1" t="s">
        <v>2844</v>
      </c>
      <c r="F789" t="s">
        <v>2845</v>
      </c>
    </row>
    <row r="790" spans="1:6" x14ac:dyDescent="0.3">
      <c r="A790" t="s">
        <v>2846</v>
      </c>
      <c r="B790" t="s">
        <v>2847</v>
      </c>
      <c r="C790">
        <v>76574</v>
      </c>
      <c r="D790">
        <v>1.0328595833333301</v>
      </c>
      <c r="E790">
        <v>4.6762428481763603E-2</v>
      </c>
      <c r="F790" t="s">
        <v>2848</v>
      </c>
    </row>
    <row r="791" spans="1:6" x14ac:dyDescent="0.3">
      <c r="A791" t="s">
        <v>2849</v>
      </c>
      <c r="B791" t="s">
        <v>2850</v>
      </c>
      <c r="C791">
        <v>14381</v>
      </c>
      <c r="D791">
        <v>1.03228266666667</v>
      </c>
      <c r="E791">
        <v>1.54146374947154E-3</v>
      </c>
      <c r="F791" t="s">
        <v>2851</v>
      </c>
    </row>
    <row r="792" spans="1:6" x14ac:dyDescent="0.3">
      <c r="A792" t="s">
        <v>2852</v>
      </c>
      <c r="B792" t="s">
        <v>2853</v>
      </c>
      <c r="C792">
        <v>50934</v>
      </c>
      <c r="D792">
        <v>1.02945308333333</v>
      </c>
      <c r="E792">
        <v>1.4623335779155101E-3</v>
      </c>
      <c r="F792" t="s">
        <v>2854</v>
      </c>
    </row>
    <row r="793" spans="1:6" x14ac:dyDescent="0.3">
      <c r="A793" t="s">
        <v>2855</v>
      </c>
      <c r="B793" t="s">
        <v>2856</v>
      </c>
      <c r="C793">
        <v>64833</v>
      </c>
      <c r="D793">
        <v>1.0293649166666701</v>
      </c>
      <c r="E793">
        <v>2.3283364646585398E-3</v>
      </c>
      <c r="F793" t="s">
        <v>2857</v>
      </c>
    </row>
    <row r="794" spans="1:6" x14ac:dyDescent="0.3">
      <c r="A794" t="s">
        <v>2858</v>
      </c>
      <c r="B794" t="s">
        <v>2859</v>
      </c>
      <c r="C794">
        <v>21816</v>
      </c>
      <c r="D794">
        <v>1.02798733333333</v>
      </c>
      <c r="E794">
        <v>2.44441571498707E-2</v>
      </c>
      <c r="F794" t="s">
        <v>2860</v>
      </c>
    </row>
    <row r="795" spans="1:6" x14ac:dyDescent="0.3">
      <c r="A795" t="s">
        <v>2861</v>
      </c>
      <c r="B795" t="s">
        <v>2862</v>
      </c>
      <c r="C795">
        <v>227731</v>
      </c>
      <c r="D795">
        <v>1.0260813333333301</v>
      </c>
      <c r="E795">
        <v>4.4332915193672E-4</v>
      </c>
      <c r="F795" t="s">
        <v>2863</v>
      </c>
    </row>
    <row r="796" spans="1:6" x14ac:dyDescent="0.3">
      <c r="A796" t="s">
        <v>2864</v>
      </c>
      <c r="B796" t="s">
        <v>2865</v>
      </c>
      <c r="C796">
        <v>76448</v>
      </c>
      <c r="D796">
        <v>1.0250964166666701</v>
      </c>
      <c r="E796">
        <v>1.05886358718243E-3</v>
      </c>
      <c r="F796" t="s">
        <v>2866</v>
      </c>
    </row>
    <row r="797" spans="1:6" x14ac:dyDescent="0.3">
      <c r="A797" t="s">
        <v>2867</v>
      </c>
      <c r="B797" t="s">
        <v>2868</v>
      </c>
      <c r="C797">
        <v>16950</v>
      </c>
      <c r="D797">
        <v>1.02508941666667</v>
      </c>
      <c r="E797">
        <v>1.03005189115288E-2</v>
      </c>
      <c r="F797" t="s">
        <v>2869</v>
      </c>
    </row>
    <row r="798" spans="1:6" x14ac:dyDescent="0.3">
      <c r="A798" t="s">
        <v>2870</v>
      </c>
      <c r="B798" t="s">
        <v>2871</v>
      </c>
      <c r="C798">
        <v>12228</v>
      </c>
      <c r="D798">
        <v>1.0232574999999999</v>
      </c>
      <c r="E798">
        <v>4.0085371197663396E-3</v>
      </c>
      <c r="F798" t="s">
        <v>2872</v>
      </c>
    </row>
    <row r="799" spans="1:6" x14ac:dyDescent="0.3">
      <c r="A799" t="s">
        <v>2873</v>
      </c>
      <c r="B799" t="s">
        <v>2874</v>
      </c>
      <c r="C799">
        <v>230596</v>
      </c>
      <c r="D799">
        <v>1.02279575</v>
      </c>
      <c r="E799">
        <v>1.6450437036991299E-3</v>
      </c>
      <c r="F799" t="s">
        <v>2875</v>
      </c>
    </row>
    <row r="800" spans="1:6" x14ac:dyDescent="0.3">
      <c r="A800" t="s">
        <v>2876</v>
      </c>
      <c r="B800" t="s">
        <v>2877</v>
      </c>
      <c r="C800">
        <v>330938</v>
      </c>
      <c r="D800">
        <v>1.0216715833333301</v>
      </c>
      <c r="E800">
        <v>1.05665691047847E-2</v>
      </c>
      <c r="F800" t="s">
        <v>2878</v>
      </c>
    </row>
    <row r="801" spans="1:6" x14ac:dyDescent="0.3">
      <c r="A801" t="s">
        <v>2879</v>
      </c>
      <c r="B801" t="s">
        <v>2880</v>
      </c>
      <c r="C801">
        <v>238386</v>
      </c>
      <c r="D801">
        <v>1.0210394166666701</v>
      </c>
      <c r="E801">
        <v>5.8749066310220897E-4</v>
      </c>
      <c r="F801" t="s">
        <v>2881</v>
      </c>
    </row>
    <row r="802" spans="1:6" x14ac:dyDescent="0.3">
      <c r="A802" t="s">
        <v>2882</v>
      </c>
      <c r="B802" t="s">
        <v>2883</v>
      </c>
      <c r="C802">
        <v>18753</v>
      </c>
      <c r="D802">
        <v>1.01968025</v>
      </c>
      <c r="E802">
        <v>2.6923925045097398E-4</v>
      </c>
      <c r="F802" t="s">
        <v>2884</v>
      </c>
    </row>
    <row r="803" spans="1:6" x14ac:dyDescent="0.3">
      <c r="A803" t="s">
        <v>2885</v>
      </c>
      <c r="B803" t="s">
        <v>2886</v>
      </c>
      <c r="C803">
        <v>240263</v>
      </c>
      <c r="D803">
        <v>1.0195209166666701</v>
      </c>
      <c r="E803">
        <v>7.1944963601469503E-3</v>
      </c>
      <c r="F803" t="s">
        <v>2887</v>
      </c>
    </row>
    <row r="804" spans="1:6" x14ac:dyDescent="0.3">
      <c r="A804" t="s">
        <v>2888</v>
      </c>
      <c r="B804" t="s">
        <v>2889</v>
      </c>
      <c r="C804">
        <v>20361</v>
      </c>
      <c r="D804">
        <v>1.01730866666667</v>
      </c>
      <c r="E804">
        <v>1.04707023415768E-2</v>
      </c>
      <c r="F804" t="s">
        <v>2890</v>
      </c>
    </row>
    <row r="805" spans="1:6" x14ac:dyDescent="0.3">
      <c r="A805" t="s">
        <v>2891</v>
      </c>
      <c r="B805" t="s">
        <v>2892</v>
      </c>
      <c r="C805">
        <v>19229</v>
      </c>
      <c r="D805">
        <v>1.0170302499999999</v>
      </c>
      <c r="E805">
        <v>1.0240473145738E-2</v>
      </c>
      <c r="F805" t="s">
        <v>2893</v>
      </c>
    </row>
    <row r="806" spans="1:6" x14ac:dyDescent="0.3">
      <c r="A806" t="s">
        <v>2894</v>
      </c>
      <c r="B806" t="s">
        <v>2895</v>
      </c>
      <c r="C806">
        <v>56095</v>
      </c>
      <c r="D806">
        <v>1.0156006666666699</v>
      </c>
      <c r="E806" s="1" t="s">
        <v>2896</v>
      </c>
      <c r="F806" t="s">
        <v>2897</v>
      </c>
    </row>
    <row r="807" spans="1:6" x14ac:dyDescent="0.3">
      <c r="A807" t="s">
        <v>2898</v>
      </c>
      <c r="B807" t="s">
        <v>2899</v>
      </c>
      <c r="C807">
        <v>110350</v>
      </c>
      <c r="D807">
        <v>1.0155604166666701</v>
      </c>
      <c r="E807">
        <v>5.7633010955032496E-3</v>
      </c>
      <c r="F807" t="s">
        <v>2900</v>
      </c>
    </row>
    <row r="808" spans="1:6" x14ac:dyDescent="0.3">
      <c r="A808" t="s">
        <v>2901</v>
      </c>
      <c r="B808" t="s">
        <v>2902</v>
      </c>
      <c r="C808">
        <v>68243</v>
      </c>
      <c r="D808">
        <v>1.0155229166666699</v>
      </c>
      <c r="E808">
        <v>1.0368674616855899E-2</v>
      </c>
      <c r="F808" t="s">
        <v>2903</v>
      </c>
    </row>
    <row r="809" spans="1:6" x14ac:dyDescent="0.3">
      <c r="A809" t="s">
        <v>2904</v>
      </c>
      <c r="B809" t="s">
        <v>2905</v>
      </c>
      <c r="C809">
        <v>19650</v>
      </c>
      <c r="D809">
        <v>1.0152998333333301</v>
      </c>
      <c r="E809">
        <v>4.8015368880654698E-2</v>
      </c>
      <c r="F809" t="s">
        <v>2906</v>
      </c>
    </row>
    <row r="810" spans="1:6" x14ac:dyDescent="0.3">
      <c r="A810" t="s">
        <v>2907</v>
      </c>
      <c r="B810" t="s">
        <v>2908</v>
      </c>
      <c r="C810">
        <v>56706</v>
      </c>
      <c r="D810">
        <v>1.0147807499999999</v>
      </c>
      <c r="E810">
        <v>2.5582953249347998E-4</v>
      </c>
      <c r="F810" t="s">
        <v>2909</v>
      </c>
    </row>
    <row r="811" spans="1:6" x14ac:dyDescent="0.3">
      <c r="A811" t="s">
        <v>2910</v>
      </c>
      <c r="B811" t="s">
        <v>2911</v>
      </c>
      <c r="C811">
        <v>105855</v>
      </c>
      <c r="D811">
        <v>1.013738</v>
      </c>
      <c r="E811">
        <v>3.03926264373213E-2</v>
      </c>
      <c r="F811" t="s">
        <v>2912</v>
      </c>
    </row>
    <row r="812" spans="1:6" x14ac:dyDescent="0.3">
      <c r="A812" t="s">
        <v>2913</v>
      </c>
      <c r="B812" t="s">
        <v>2914</v>
      </c>
      <c r="C812">
        <v>100637</v>
      </c>
      <c r="D812">
        <v>1.01372666666667</v>
      </c>
      <c r="E812">
        <v>2.9410297875051401E-2</v>
      </c>
      <c r="F812" t="s">
        <v>2915</v>
      </c>
    </row>
    <row r="813" spans="1:6" x14ac:dyDescent="0.3">
      <c r="A813" t="s">
        <v>2916</v>
      </c>
      <c r="B813" t="s">
        <v>2917</v>
      </c>
      <c r="C813">
        <v>13733</v>
      </c>
      <c r="D813">
        <v>1.0119786666666699</v>
      </c>
      <c r="E813">
        <v>2.1167548555287002E-2</v>
      </c>
      <c r="F813" t="s">
        <v>2918</v>
      </c>
    </row>
    <row r="814" spans="1:6" x14ac:dyDescent="0.3">
      <c r="A814" t="s">
        <v>2919</v>
      </c>
      <c r="B814" t="s">
        <v>2920</v>
      </c>
      <c r="C814">
        <v>194401</v>
      </c>
      <c r="D814">
        <v>1.01115658333334</v>
      </c>
      <c r="E814">
        <v>4.6818004387339199E-2</v>
      </c>
      <c r="F814" t="s">
        <v>2921</v>
      </c>
    </row>
    <row r="815" spans="1:6" x14ac:dyDescent="0.3">
      <c r="A815" t="s">
        <v>2922</v>
      </c>
      <c r="B815" t="s">
        <v>2923</v>
      </c>
      <c r="C815">
        <v>19331</v>
      </c>
      <c r="D815">
        <v>1.01013633333333</v>
      </c>
      <c r="E815">
        <v>1.9378504474437E-3</v>
      </c>
      <c r="F815" t="s">
        <v>2924</v>
      </c>
    </row>
    <row r="816" spans="1:6" x14ac:dyDescent="0.3">
      <c r="A816" t="s">
        <v>2925</v>
      </c>
      <c r="B816" t="s">
        <v>2926</v>
      </c>
      <c r="C816">
        <v>78787</v>
      </c>
      <c r="D816">
        <v>1.0099940000000001</v>
      </c>
      <c r="E816">
        <v>1.4301287601884E-2</v>
      </c>
      <c r="F816" t="s">
        <v>2927</v>
      </c>
    </row>
    <row r="817" spans="1:6" x14ac:dyDescent="0.3">
      <c r="A817" t="s">
        <v>2928</v>
      </c>
      <c r="B817" t="s">
        <v>2929</v>
      </c>
      <c r="C817">
        <v>21939</v>
      </c>
      <c r="D817">
        <v>1.00991408333333</v>
      </c>
      <c r="E817">
        <v>6.4397381539639696E-3</v>
      </c>
      <c r="F817" t="s">
        <v>2930</v>
      </c>
    </row>
    <row r="818" spans="1:6" x14ac:dyDescent="0.3">
      <c r="A818" t="s">
        <v>2931</v>
      </c>
      <c r="B818" t="s">
        <v>2932</v>
      </c>
      <c r="C818">
        <v>20965</v>
      </c>
      <c r="D818">
        <v>1.0086835000000001</v>
      </c>
      <c r="E818">
        <v>2.1464460860703399E-3</v>
      </c>
      <c r="F818" t="s">
        <v>2933</v>
      </c>
    </row>
    <row r="819" spans="1:6" x14ac:dyDescent="0.3">
      <c r="A819" t="s">
        <v>2934</v>
      </c>
      <c r="B819" t="s">
        <v>2935</v>
      </c>
      <c r="C819">
        <v>71409</v>
      </c>
      <c r="D819">
        <v>1.00711341666667</v>
      </c>
      <c r="E819">
        <v>3.9933992693291402E-4</v>
      </c>
      <c r="F819" t="s">
        <v>2936</v>
      </c>
    </row>
    <row r="820" spans="1:6" x14ac:dyDescent="0.3">
      <c r="A820" t="s">
        <v>2937</v>
      </c>
      <c r="B820" t="s">
        <v>2938</v>
      </c>
      <c r="C820">
        <v>217995</v>
      </c>
      <c r="D820">
        <v>1.0066374166666701</v>
      </c>
      <c r="E820">
        <v>6.6680033926198503E-3</v>
      </c>
      <c r="F820" t="s">
        <v>2939</v>
      </c>
    </row>
    <row r="821" spans="1:6" x14ac:dyDescent="0.3">
      <c r="A821" t="s">
        <v>2940</v>
      </c>
      <c r="B821" t="s">
        <v>2941</v>
      </c>
      <c r="C821">
        <v>68938</v>
      </c>
      <c r="D821">
        <v>1.0054495833333299</v>
      </c>
      <c r="E821">
        <v>2.02349076950029E-4</v>
      </c>
      <c r="F821" t="s">
        <v>2942</v>
      </c>
    </row>
    <row r="822" spans="1:6" x14ac:dyDescent="0.3">
      <c r="A822" t="s">
        <v>2943</v>
      </c>
      <c r="B822" t="s">
        <v>2944</v>
      </c>
      <c r="C822">
        <v>70484</v>
      </c>
      <c r="D822">
        <v>1.0051538333333301</v>
      </c>
      <c r="E822">
        <v>1.5721905165384201E-4</v>
      </c>
      <c r="F822" t="s">
        <v>2945</v>
      </c>
    </row>
    <row r="823" spans="1:6" x14ac:dyDescent="0.3">
      <c r="A823" t="s">
        <v>2946</v>
      </c>
      <c r="B823" t="s">
        <v>2947</v>
      </c>
      <c r="C823">
        <v>17071</v>
      </c>
      <c r="D823">
        <v>1.0042851666666699</v>
      </c>
      <c r="E823">
        <v>9.8000347227148203E-4</v>
      </c>
      <c r="F823" t="s">
        <v>2948</v>
      </c>
    </row>
    <row r="824" spans="1:6" x14ac:dyDescent="0.3">
      <c r="A824" t="s">
        <v>2949</v>
      </c>
      <c r="B824" t="s">
        <v>2950</v>
      </c>
      <c r="C824">
        <v>83602</v>
      </c>
      <c r="D824">
        <v>1.00406158333333</v>
      </c>
      <c r="E824">
        <v>5.78598898146848E-3</v>
      </c>
      <c r="F824" t="s">
        <v>2951</v>
      </c>
    </row>
    <row r="825" spans="1:6" x14ac:dyDescent="0.3">
      <c r="A825" t="s">
        <v>2952</v>
      </c>
      <c r="B825" t="s">
        <v>2953</v>
      </c>
      <c r="C825">
        <v>67073</v>
      </c>
      <c r="D825">
        <v>1.00376641666667</v>
      </c>
      <c r="E825">
        <v>4.8050357998718598E-3</v>
      </c>
      <c r="F825" t="s">
        <v>2954</v>
      </c>
    </row>
    <row r="826" spans="1:6" x14ac:dyDescent="0.3">
      <c r="A826" t="s">
        <v>2955</v>
      </c>
      <c r="B826" t="s">
        <v>2956</v>
      </c>
      <c r="C826">
        <v>231130</v>
      </c>
      <c r="D826">
        <v>1.0031556666666701</v>
      </c>
      <c r="E826">
        <v>6.9383586112332896E-4</v>
      </c>
      <c r="F826" t="s">
        <v>2957</v>
      </c>
    </row>
    <row r="827" spans="1:6" x14ac:dyDescent="0.3">
      <c r="A827" t="s">
        <v>2958</v>
      </c>
      <c r="B827" t="s">
        <v>2959</v>
      </c>
      <c r="C827">
        <v>21853</v>
      </c>
      <c r="D827">
        <v>1.0025265833333299</v>
      </c>
      <c r="E827">
        <v>7.8736086011890992E-3</v>
      </c>
      <c r="F827" t="s">
        <v>2960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D55B-57D7-49C9-B31D-718C78F193FF}">
  <sheetPr filterMode="1"/>
  <dimension ref="A1:AC80"/>
  <sheetViews>
    <sheetView workbookViewId="0">
      <selection activeCell="F83" sqref="F83"/>
    </sheetView>
  </sheetViews>
  <sheetFormatPr defaultRowHeight="14.4" x14ac:dyDescent="0.3"/>
  <cols>
    <col min="28" max="28" width="24.21875" customWidth="1"/>
    <col min="29" max="29" width="26.88671875" customWidth="1"/>
  </cols>
  <sheetData>
    <row r="1" spans="1: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2962</v>
      </c>
      <c r="AC1" t="s">
        <v>2961</v>
      </c>
    </row>
    <row r="2" spans="1:29" x14ac:dyDescent="0.3">
      <c r="A2" t="s">
        <v>26</v>
      </c>
      <c r="B2" t="s">
        <v>27</v>
      </c>
      <c r="C2" t="s">
        <v>28</v>
      </c>
      <c r="D2">
        <v>3.732863</v>
      </c>
      <c r="E2">
        <v>4.3731429999999998</v>
      </c>
      <c r="F2">
        <v>4.2692019999999999</v>
      </c>
      <c r="G2">
        <v>4.2593160000000001</v>
      </c>
      <c r="H2">
        <v>3.762054</v>
      </c>
      <c r="I2">
        <v>3.3647239999999998</v>
      </c>
      <c r="J2">
        <v>2.2684540000000002</v>
      </c>
      <c r="K2">
        <v>2.6464180000000002</v>
      </c>
      <c r="L2">
        <v>2.3799250000000001</v>
      </c>
      <c r="M2">
        <v>3.3288440000000001</v>
      </c>
      <c r="N2">
        <v>2.4736919999999998</v>
      </c>
      <c r="O2">
        <v>2.4754139999999998</v>
      </c>
      <c r="P2">
        <v>7.3994280000000003</v>
      </c>
      <c r="Q2">
        <v>6.4322540000000004</v>
      </c>
      <c r="R2">
        <v>8.2219920000000002</v>
      </c>
      <c r="S2">
        <v>9.0098979999999997</v>
      </c>
      <c r="T2">
        <v>9.4195259999999994</v>
      </c>
      <c r="U2">
        <v>9.1010639999999992</v>
      </c>
      <c r="V2">
        <v>8.3275369999999995</v>
      </c>
      <c r="W2">
        <v>8.0093899999999998</v>
      </c>
      <c r="X2">
        <v>7.8385059999999998</v>
      </c>
      <c r="Y2">
        <v>7.6432330000000004</v>
      </c>
      <c r="Z2">
        <v>8.1229370000000003</v>
      </c>
      <c r="AA2">
        <v>7.3872010000000001</v>
      </c>
      <c r="AB2" t="str">
        <f>_xlfn.XLOOKUP($A2, DEG!$B:$B, DEG!$E:$E, "not sig")</f>
        <v>6.26862425213091e-12</v>
      </c>
      <c r="AC2">
        <f>IFERROR(VALUE(_xlfn.XLOOKUP($A2, DEG!$B:$B, DEG!$D:$D)), "")</f>
        <v>4.7982430833333298</v>
      </c>
    </row>
    <row r="3" spans="1:29" hidden="1" x14ac:dyDescent="0.3">
      <c r="A3" t="s">
        <v>29</v>
      </c>
      <c r="B3" t="s">
        <v>30</v>
      </c>
      <c r="C3" t="s">
        <v>31</v>
      </c>
      <c r="D3">
        <v>5.9133139999999997</v>
      </c>
      <c r="E3">
        <v>5.9482590000000002</v>
      </c>
      <c r="F3">
        <v>5.6992390000000004</v>
      </c>
      <c r="G3">
        <v>5.8523829999999997</v>
      </c>
      <c r="H3">
        <v>6.0027889999999999</v>
      </c>
      <c r="I3">
        <v>6.2654259999999997</v>
      </c>
      <c r="J3">
        <v>5.005725</v>
      </c>
      <c r="K3">
        <v>4.8957269999999999</v>
      </c>
      <c r="L3">
        <v>5.0301749999999998</v>
      </c>
      <c r="M3">
        <v>5.3253089999999998</v>
      </c>
      <c r="N3">
        <v>5.589594</v>
      </c>
      <c r="O3">
        <v>5.487851</v>
      </c>
      <c r="P3">
        <v>4.198658</v>
      </c>
      <c r="Q3">
        <v>4.5841209999999997</v>
      </c>
      <c r="R3">
        <v>5.0508689999999996</v>
      </c>
      <c r="S3">
        <v>5.0607490000000004</v>
      </c>
      <c r="T3">
        <v>4.7312700000000003</v>
      </c>
      <c r="U3">
        <v>4.3976800000000003</v>
      </c>
      <c r="V3">
        <v>2.673225</v>
      </c>
      <c r="W3">
        <v>2.3502670000000001</v>
      </c>
      <c r="X3">
        <v>3.533083</v>
      </c>
      <c r="Y3">
        <v>3.021665</v>
      </c>
      <c r="Z3">
        <v>2.136387</v>
      </c>
      <c r="AA3">
        <v>2.7997190000000001</v>
      </c>
      <c r="AB3" t="str">
        <f>_xlfn.XLOOKUP($A3, DEG!$B:$B, DEG!$E:$E, "not sig")</f>
        <v>not sig</v>
      </c>
      <c r="AC3" t="str">
        <f>IFERROR(VALUE(_xlfn.XLOOKUP($A3, DEG!$B:$B, DEG!$D:$D)), "")</f>
        <v/>
      </c>
    </row>
    <row r="4" spans="1:29" hidden="1" x14ac:dyDescent="0.3">
      <c r="A4" t="s">
        <v>32</v>
      </c>
      <c r="B4" t="s">
        <v>33</v>
      </c>
      <c r="C4" t="s">
        <v>34</v>
      </c>
      <c r="D4">
        <v>3.679376</v>
      </c>
      <c r="E4">
        <v>4.1283349999999999</v>
      </c>
      <c r="F4">
        <v>3.8707699999999998</v>
      </c>
      <c r="G4">
        <v>4.7580939999999998</v>
      </c>
      <c r="H4">
        <v>4.4209490000000002</v>
      </c>
      <c r="I4">
        <v>3.8433619999999999</v>
      </c>
      <c r="J4">
        <v>2.922955</v>
      </c>
      <c r="K4">
        <v>2.3705829999999999</v>
      </c>
      <c r="L4">
        <v>2.682671</v>
      </c>
      <c r="M4">
        <v>2.9425750000000002</v>
      </c>
      <c r="N4">
        <v>3.3943919999999999</v>
      </c>
      <c r="O4">
        <v>3.0498560000000001</v>
      </c>
      <c r="P4">
        <v>4.3349869999999999</v>
      </c>
      <c r="Q4">
        <v>4.2376649999999998</v>
      </c>
      <c r="R4">
        <v>4.3774220000000001</v>
      </c>
      <c r="S4">
        <v>5.4107900000000004</v>
      </c>
      <c r="T4">
        <v>4.7638470000000002</v>
      </c>
      <c r="U4">
        <v>4.6225449999999997</v>
      </c>
      <c r="V4">
        <v>3.491676</v>
      </c>
      <c r="W4">
        <v>3.5067840000000001</v>
      </c>
      <c r="X4">
        <v>3.5016289999999999</v>
      </c>
      <c r="Y4">
        <v>3.5863849999999999</v>
      </c>
      <c r="Z4">
        <v>4.2090079999999999</v>
      </c>
      <c r="AA4">
        <v>3.5716830000000002</v>
      </c>
      <c r="AB4" t="str">
        <f>_xlfn.XLOOKUP($A4, DEG!$B:$B, DEG!$E:$E, "not sig")</f>
        <v>not sig</v>
      </c>
      <c r="AC4" t="str">
        <f>IFERROR(VALUE(_xlfn.XLOOKUP($A4, DEG!$B:$B, DEG!$D:$D)), "")</f>
        <v/>
      </c>
    </row>
    <row r="5" spans="1:29" x14ac:dyDescent="0.3">
      <c r="A5" t="s">
        <v>35</v>
      </c>
      <c r="B5" t="s">
        <v>36</v>
      </c>
      <c r="C5" t="s">
        <v>28</v>
      </c>
      <c r="D5">
        <v>5.8192880000000002</v>
      </c>
      <c r="E5">
        <v>5.5184889999999998</v>
      </c>
      <c r="F5">
        <v>7.8225670000000003</v>
      </c>
      <c r="G5">
        <v>6.8147760000000002</v>
      </c>
      <c r="H5">
        <v>6.4344869999999998</v>
      </c>
      <c r="I5">
        <v>6.0039829999999998</v>
      </c>
      <c r="J5">
        <v>3.1670850000000002</v>
      </c>
      <c r="K5">
        <v>2.633038</v>
      </c>
      <c r="L5">
        <v>3.4161619999999999</v>
      </c>
      <c r="M5">
        <v>2.7277979999999999</v>
      </c>
      <c r="N5">
        <v>2.617947</v>
      </c>
      <c r="O5">
        <v>2.9854340000000001</v>
      </c>
      <c r="P5">
        <v>7.1765239999999997</v>
      </c>
      <c r="Q5">
        <v>8.1455559999999991</v>
      </c>
      <c r="R5">
        <v>9.1658950000000008</v>
      </c>
      <c r="S5">
        <v>8.8441480000000006</v>
      </c>
      <c r="T5">
        <v>8.5621030000000005</v>
      </c>
      <c r="U5">
        <v>8.3437459999999994</v>
      </c>
      <c r="V5">
        <v>7.2462309999999999</v>
      </c>
      <c r="W5">
        <v>7.2446950000000001</v>
      </c>
      <c r="X5">
        <v>7.4213889999999996</v>
      </c>
      <c r="Y5">
        <v>7.4915529999999997</v>
      </c>
      <c r="Z5">
        <v>7.3745989999999999</v>
      </c>
      <c r="AA5">
        <v>6.695538</v>
      </c>
      <c r="AB5">
        <f>_xlfn.XLOOKUP($A5, DEG!$B:$B, DEG!$E:$E, "not sig")</f>
        <v>1.1606698782631599E-4</v>
      </c>
      <c r="AC5">
        <f>IFERROR(VALUE(_xlfn.XLOOKUP($A5, DEG!$B:$B, DEG!$D:$D)), "")</f>
        <v>3.14591025</v>
      </c>
    </row>
    <row r="6" spans="1:29" hidden="1" x14ac:dyDescent="0.3">
      <c r="A6" t="s">
        <v>37</v>
      </c>
      <c r="B6" t="s">
        <v>38</v>
      </c>
      <c r="C6" t="s">
        <v>34</v>
      </c>
      <c r="D6">
        <v>8.6816370000000003</v>
      </c>
      <c r="E6">
        <v>8.3214079999999999</v>
      </c>
      <c r="F6">
        <v>8.6016119999999994</v>
      </c>
      <c r="G6">
        <v>9.0310170000000003</v>
      </c>
      <c r="H6">
        <v>9.6699459999999995</v>
      </c>
      <c r="I6">
        <v>9.0341629999999995</v>
      </c>
      <c r="J6">
        <v>6.9791530000000002</v>
      </c>
      <c r="K6">
        <v>7.2388139999999996</v>
      </c>
      <c r="L6">
        <v>7.0414250000000003</v>
      </c>
      <c r="M6">
        <v>7.3145579999999999</v>
      </c>
      <c r="N6">
        <v>7.4009790000000004</v>
      </c>
      <c r="O6">
        <v>7.2784829999999996</v>
      </c>
      <c r="P6">
        <v>8.8475330000000003</v>
      </c>
      <c r="Q6">
        <v>8.7447820000000007</v>
      </c>
      <c r="R6">
        <v>10.2028</v>
      </c>
      <c r="S6">
        <v>9.8182030000000005</v>
      </c>
      <c r="T6">
        <v>10.08417</v>
      </c>
      <c r="U6">
        <v>9.5474709999999998</v>
      </c>
      <c r="V6">
        <v>8.6137300000000003</v>
      </c>
      <c r="W6">
        <v>8.1253759999999993</v>
      </c>
      <c r="X6">
        <v>8.0889720000000001</v>
      </c>
      <c r="Y6">
        <v>7.977252</v>
      </c>
      <c r="Z6">
        <v>8.4987119999999994</v>
      </c>
      <c r="AA6">
        <v>8.8467420000000008</v>
      </c>
      <c r="AB6" t="str">
        <f>_xlfn.XLOOKUP($A6, DEG!$B:$B, DEG!$E:$E, "not sig")</f>
        <v>not sig</v>
      </c>
      <c r="AC6" t="str">
        <f>IFERROR(VALUE(_xlfn.XLOOKUP($A6, DEG!$B:$B, DEG!$D:$D)), "")</f>
        <v/>
      </c>
    </row>
    <row r="7" spans="1:29" hidden="1" x14ac:dyDescent="0.3">
      <c r="A7" t="s">
        <v>39</v>
      </c>
      <c r="B7" t="s">
        <v>40</v>
      </c>
      <c r="C7" t="s">
        <v>34</v>
      </c>
      <c r="D7">
        <v>2.8009780000000002</v>
      </c>
      <c r="E7">
        <v>3.3230379999999999</v>
      </c>
      <c r="F7">
        <v>3.2320150000000001</v>
      </c>
      <c r="G7">
        <v>3.5168439999999999</v>
      </c>
      <c r="H7">
        <v>3.14621</v>
      </c>
      <c r="I7">
        <v>3.5497589999999999</v>
      </c>
      <c r="J7">
        <v>3.3069760000000001</v>
      </c>
      <c r="K7">
        <v>2.8170009999999999</v>
      </c>
      <c r="L7">
        <v>2.8740749999999999</v>
      </c>
      <c r="M7">
        <v>2.6133609999999998</v>
      </c>
      <c r="N7">
        <v>2.54826</v>
      </c>
      <c r="O7">
        <v>2.41947</v>
      </c>
      <c r="P7">
        <v>4.0819460000000003</v>
      </c>
      <c r="Q7">
        <v>3.9230670000000001</v>
      </c>
      <c r="R7">
        <v>4.2192040000000004</v>
      </c>
      <c r="S7">
        <v>3.446034</v>
      </c>
      <c r="T7">
        <v>3.0762909999999999</v>
      </c>
      <c r="U7">
        <v>3.1494179999999998</v>
      </c>
      <c r="V7">
        <v>3.0176219999999998</v>
      </c>
      <c r="W7">
        <v>2.476477</v>
      </c>
      <c r="X7">
        <v>2.4970659999999998</v>
      </c>
      <c r="Y7">
        <v>3.0897250000000001</v>
      </c>
      <c r="Z7">
        <v>2.6106289999999999</v>
      </c>
      <c r="AA7">
        <v>2.668901</v>
      </c>
      <c r="AB7" t="str">
        <f>_xlfn.XLOOKUP($A7, DEG!$B:$B, DEG!$E:$E, "not sig")</f>
        <v>not sig</v>
      </c>
      <c r="AC7" t="str">
        <f>IFERROR(VALUE(_xlfn.XLOOKUP($A7, DEG!$B:$B, DEG!$D:$D)), "")</f>
        <v/>
      </c>
    </row>
    <row r="8" spans="1:29" hidden="1" x14ac:dyDescent="0.3">
      <c r="A8" t="s">
        <v>41</v>
      </c>
      <c r="B8" t="s">
        <v>42</v>
      </c>
      <c r="C8" t="s">
        <v>34</v>
      </c>
      <c r="D8">
        <v>3.1060370000000002</v>
      </c>
      <c r="E8">
        <v>3.8004730000000002</v>
      </c>
      <c r="F8">
        <v>3.9663339999999998</v>
      </c>
      <c r="G8">
        <v>4.260548</v>
      </c>
      <c r="H8">
        <v>4.385345</v>
      </c>
      <c r="I8">
        <v>3.7932779999999999</v>
      </c>
      <c r="J8">
        <v>1.8724970000000001</v>
      </c>
      <c r="K8">
        <v>3.1399059999999999</v>
      </c>
      <c r="L8">
        <v>1.8081609999999999</v>
      </c>
      <c r="M8">
        <v>2.3430409999999999</v>
      </c>
      <c r="N8">
        <v>2.6178870000000001</v>
      </c>
      <c r="O8">
        <v>1.8693139999999999</v>
      </c>
      <c r="P8">
        <v>4.6319990000000004</v>
      </c>
      <c r="Q8">
        <v>4.0030150000000004</v>
      </c>
      <c r="R8">
        <v>4.9541170000000001</v>
      </c>
      <c r="S8">
        <v>4.5619639999999997</v>
      </c>
      <c r="T8">
        <v>4.7665639999999998</v>
      </c>
      <c r="U8">
        <v>4.9989379999999999</v>
      </c>
      <c r="V8">
        <v>3.727938</v>
      </c>
      <c r="W8">
        <v>3.2357900000000002</v>
      </c>
      <c r="X8">
        <v>2.9805030000000001</v>
      </c>
      <c r="Y8">
        <v>3.8842310000000002</v>
      </c>
      <c r="Z8">
        <v>3.7667069999999998</v>
      </c>
      <c r="AA8">
        <v>2.8675220000000001</v>
      </c>
      <c r="AB8" t="str">
        <f>_xlfn.XLOOKUP($A8, DEG!$B:$B, DEG!$E:$E, "not sig")</f>
        <v>not sig</v>
      </c>
      <c r="AC8" t="str">
        <f>IFERROR(VALUE(_xlfn.XLOOKUP($A8, DEG!$B:$B, DEG!$D:$D)), "")</f>
        <v/>
      </c>
    </row>
    <row r="9" spans="1:29" x14ac:dyDescent="0.3">
      <c r="A9" t="s">
        <v>43</v>
      </c>
      <c r="B9" t="s">
        <v>44</v>
      </c>
      <c r="C9" t="s">
        <v>28</v>
      </c>
      <c r="D9">
        <v>5.6522059999999996</v>
      </c>
      <c r="E9">
        <v>5.348725</v>
      </c>
      <c r="F9">
        <v>5.8882849999999998</v>
      </c>
      <c r="G9">
        <v>6.5729350000000002</v>
      </c>
      <c r="H9">
        <v>7.0730839999999997</v>
      </c>
      <c r="I9">
        <v>6.7313489999999998</v>
      </c>
      <c r="J9">
        <v>5.6688789999999996</v>
      </c>
      <c r="K9">
        <v>4.7557289999999997</v>
      </c>
      <c r="L9">
        <v>5.6407639999999999</v>
      </c>
      <c r="M9">
        <v>6.1333479999999998</v>
      </c>
      <c r="N9">
        <v>5.1070390000000003</v>
      </c>
      <c r="O9">
        <v>5.5280610000000001</v>
      </c>
      <c r="P9">
        <v>7.965382</v>
      </c>
      <c r="Q9">
        <v>7.8948799999999997</v>
      </c>
      <c r="R9">
        <v>8.8468260000000001</v>
      </c>
      <c r="S9">
        <v>7.9119479999999998</v>
      </c>
      <c r="T9">
        <v>7.6768369999999999</v>
      </c>
      <c r="U9">
        <v>8.6760370000000009</v>
      </c>
      <c r="V9">
        <v>6.0430169999999999</v>
      </c>
      <c r="W9">
        <v>6.2646439999999997</v>
      </c>
      <c r="X9">
        <v>6.771884</v>
      </c>
      <c r="Y9">
        <v>6.78817</v>
      </c>
      <c r="Z9">
        <v>7.538805</v>
      </c>
      <c r="AA9">
        <v>6.3919119999999996</v>
      </c>
      <c r="AB9">
        <f>_xlfn.XLOOKUP($A9, DEG!$B:$B, DEG!$E:$E, "not sig")</f>
        <v>7.0304818900713704E-4</v>
      </c>
      <c r="AC9">
        <f>IFERROR(VALUE(_xlfn.XLOOKUP($A9, DEG!$B:$B, DEG!$D:$D)), "")</f>
        <v>1.55582816666667</v>
      </c>
    </row>
    <row r="10" spans="1:29" x14ac:dyDescent="0.3">
      <c r="A10" t="s">
        <v>45</v>
      </c>
      <c r="B10" t="s">
        <v>46</v>
      </c>
      <c r="C10" t="s">
        <v>28</v>
      </c>
      <c r="D10">
        <v>6.1492290000000001</v>
      </c>
      <c r="E10">
        <v>6.2823710000000004</v>
      </c>
      <c r="F10">
        <v>6.732971</v>
      </c>
      <c r="G10">
        <v>6.6572550000000001</v>
      </c>
      <c r="H10">
        <v>6.4582949999999997</v>
      </c>
      <c r="I10">
        <v>6.769838</v>
      </c>
      <c r="J10">
        <v>4.2305619999999999</v>
      </c>
      <c r="K10">
        <v>4.6044900000000002</v>
      </c>
      <c r="L10">
        <v>4.6062450000000004</v>
      </c>
      <c r="M10">
        <v>4.032063</v>
      </c>
      <c r="N10">
        <v>4.0677490000000001</v>
      </c>
      <c r="O10">
        <v>4.2740030000000004</v>
      </c>
      <c r="P10">
        <v>9.6552310000000006</v>
      </c>
      <c r="Q10">
        <v>8.979158</v>
      </c>
      <c r="R10">
        <v>11.120010000000001</v>
      </c>
      <c r="S10">
        <v>11.93572</v>
      </c>
      <c r="T10">
        <v>12.2697</v>
      </c>
      <c r="U10">
        <v>11.810359999999999</v>
      </c>
      <c r="V10">
        <v>11.045400000000001</v>
      </c>
      <c r="W10">
        <v>10.587070000000001</v>
      </c>
      <c r="X10">
        <v>10.5846</v>
      </c>
      <c r="Y10">
        <v>10.614929999999999</v>
      </c>
      <c r="Z10">
        <v>10.84329</v>
      </c>
      <c r="AA10">
        <v>10.172890000000001</v>
      </c>
      <c r="AB10" t="str">
        <f>_xlfn.XLOOKUP($A10, DEG!$B:$B, DEG!$E:$E, "not sig")</f>
        <v>6.64400970524749e-11</v>
      </c>
      <c r="AC10">
        <f>IFERROR(VALUE(_xlfn.XLOOKUP($A10, DEG!$B:$B, DEG!$D:$D)), "")</f>
        <v>5.3961073333333403</v>
      </c>
    </row>
    <row r="11" spans="1:29" x14ac:dyDescent="0.3">
      <c r="A11" t="s">
        <v>47</v>
      </c>
      <c r="B11" t="s">
        <v>48</v>
      </c>
      <c r="C11" t="s">
        <v>28</v>
      </c>
      <c r="D11">
        <v>8.8400649999999992</v>
      </c>
      <c r="E11">
        <v>8.9952880000000004</v>
      </c>
      <c r="F11">
        <v>9.4457819999999995</v>
      </c>
      <c r="G11">
        <v>10.25103</v>
      </c>
      <c r="H11">
        <v>10.37505</v>
      </c>
      <c r="I11">
        <v>10.09609</v>
      </c>
      <c r="J11">
        <v>9.3917059999999992</v>
      </c>
      <c r="K11">
        <v>9.0929970000000004</v>
      </c>
      <c r="L11">
        <v>9.3744340000000008</v>
      </c>
      <c r="M11">
        <v>9.6089880000000001</v>
      </c>
      <c r="N11">
        <v>8.8937229999999996</v>
      </c>
      <c r="O11">
        <v>9.1470800000000008</v>
      </c>
      <c r="P11">
        <v>10.93094</v>
      </c>
      <c r="Q11">
        <v>11.347619999999999</v>
      </c>
      <c r="R11">
        <v>11.76468</v>
      </c>
      <c r="S11">
        <v>12.13871</v>
      </c>
      <c r="T11">
        <v>12.135350000000001</v>
      </c>
      <c r="U11">
        <v>12.412369999999999</v>
      </c>
      <c r="V11">
        <v>11.521509999999999</v>
      </c>
      <c r="W11">
        <v>11.16835</v>
      </c>
      <c r="X11">
        <v>11.406980000000001</v>
      </c>
      <c r="Y11">
        <v>11.72409</v>
      </c>
      <c r="Z11">
        <v>11.77772</v>
      </c>
      <c r="AA11">
        <v>11.03046</v>
      </c>
      <c r="AB11" t="str">
        <f>_xlfn.XLOOKUP($A11, DEG!$B:$B, DEG!$E:$E, "not sig")</f>
        <v>8.20999931184665e-09</v>
      </c>
      <c r="AC11">
        <f>IFERROR(VALUE(_xlfn.XLOOKUP($A11, DEG!$B:$B, DEG!$D:$D)), "")</f>
        <v>2.1538789166666699</v>
      </c>
    </row>
    <row r="12" spans="1:29" hidden="1" x14ac:dyDescent="0.3">
      <c r="A12" t="s">
        <v>49</v>
      </c>
      <c r="B12" t="s">
        <v>50</v>
      </c>
      <c r="C12" t="s">
        <v>34</v>
      </c>
      <c r="D12">
        <v>6.0191150000000002</v>
      </c>
      <c r="E12">
        <v>5.7501480000000003</v>
      </c>
      <c r="F12">
        <v>6.2685089999999999</v>
      </c>
      <c r="G12">
        <v>6.6484990000000002</v>
      </c>
      <c r="H12">
        <v>6.0969959999999999</v>
      </c>
      <c r="I12">
        <v>5.7973619999999997</v>
      </c>
      <c r="J12">
        <v>6.2366210000000004</v>
      </c>
      <c r="K12">
        <v>5.2855780000000001</v>
      </c>
      <c r="L12">
        <v>5.6637550000000001</v>
      </c>
      <c r="M12">
        <v>5.5196930000000002</v>
      </c>
      <c r="N12">
        <v>6.023644</v>
      </c>
      <c r="O12">
        <v>5.8784000000000001</v>
      </c>
      <c r="P12">
        <v>5.8413139999999997</v>
      </c>
      <c r="Q12">
        <v>6.3014900000000003</v>
      </c>
      <c r="R12">
        <v>4.936331</v>
      </c>
      <c r="S12">
        <v>5.8708159999999996</v>
      </c>
      <c r="T12">
        <v>5.767557</v>
      </c>
      <c r="U12">
        <v>5.8119959999999997</v>
      </c>
      <c r="V12">
        <v>5.2446900000000003</v>
      </c>
      <c r="W12">
        <v>4.9355149999999997</v>
      </c>
      <c r="X12">
        <v>5.0180449999999999</v>
      </c>
      <c r="Y12">
        <v>5.1347680000000002</v>
      </c>
      <c r="Z12">
        <v>5.2206340000000004</v>
      </c>
      <c r="AA12">
        <v>5.0758049999999999</v>
      </c>
      <c r="AB12" t="str">
        <f>_xlfn.XLOOKUP($A12, DEG!$B:$B, DEG!$E:$E, "not sig")</f>
        <v>not sig</v>
      </c>
      <c r="AC12" t="str">
        <f>IFERROR(VALUE(_xlfn.XLOOKUP($A12, DEG!$B:$B, DEG!$D:$D)), "")</f>
        <v/>
      </c>
    </row>
    <row r="13" spans="1:29" x14ac:dyDescent="0.3">
      <c r="A13" t="s">
        <v>51</v>
      </c>
      <c r="B13" t="s">
        <v>52</v>
      </c>
      <c r="C13" t="s">
        <v>28</v>
      </c>
      <c r="D13">
        <v>7.1460869999999996</v>
      </c>
      <c r="E13">
        <v>6.7370739999999998</v>
      </c>
      <c r="F13">
        <v>7.0007020000000004</v>
      </c>
      <c r="G13">
        <v>6.4975560000000003</v>
      </c>
      <c r="H13">
        <v>6.3495030000000003</v>
      </c>
      <c r="I13">
        <v>7.2590570000000003</v>
      </c>
      <c r="J13">
        <v>6.2077879999999999</v>
      </c>
      <c r="K13">
        <v>6.3057949999999998</v>
      </c>
      <c r="L13">
        <v>6.1531010000000004</v>
      </c>
      <c r="M13">
        <v>5.4330759999999998</v>
      </c>
      <c r="N13">
        <v>5.9054549999999999</v>
      </c>
      <c r="O13">
        <v>5.8946730000000001</v>
      </c>
      <c r="P13">
        <v>10.284380000000001</v>
      </c>
      <c r="Q13">
        <v>9.6749790000000004</v>
      </c>
      <c r="R13">
        <v>10.037599999999999</v>
      </c>
      <c r="S13">
        <v>9.2936890000000005</v>
      </c>
      <c r="T13">
        <v>9.2737010000000009</v>
      </c>
      <c r="U13">
        <v>8.8448639999999994</v>
      </c>
      <c r="V13">
        <v>7.9448819999999998</v>
      </c>
      <c r="W13">
        <v>8.7795330000000007</v>
      </c>
      <c r="X13">
        <v>8.4376479999999994</v>
      </c>
      <c r="Y13">
        <v>8.0375809999999994</v>
      </c>
      <c r="Z13">
        <v>8.9660650000000004</v>
      </c>
      <c r="AA13">
        <v>7.9409239999999999</v>
      </c>
      <c r="AB13" t="str">
        <f>_xlfn.XLOOKUP($A13, DEG!$B:$B, DEG!$E:$E, "not sig")</f>
        <v>4.50941127819414e-08</v>
      </c>
      <c r="AC13">
        <f>IFERROR(VALUE(_xlfn.XLOOKUP($A13, DEG!$B:$B, DEG!$D:$D)), "")</f>
        <v>2.55216491666667</v>
      </c>
    </row>
    <row r="14" spans="1:29" hidden="1" x14ac:dyDescent="0.3">
      <c r="A14" t="s">
        <v>53</v>
      </c>
      <c r="B14" t="s">
        <v>54</v>
      </c>
      <c r="C14" t="s">
        <v>34</v>
      </c>
      <c r="D14">
        <v>2.8718360000000001</v>
      </c>
      <c r="E14">
        <v>2.4111560000000001</v>
      </c>
      <c r="F14">
        <v>2.353453</v>
      </c>
      <c r="G14">
        <v>2.6279699999999999</v>
      </c>
      <c r="H14">
        <v>2.742807</v>
      </c>
      <c r="I14">
        <v>2.8253720000000002</v>
      </c>
      <c r="J14">
        <v>2.315763</v>
      </c>
      <c r="K14">
        <v>1.975055</v>
      </c>
      <c r="L14">
        <v>3.051364</v>
      </c>
      <c r="M14">
        <v>2.0789240000000002</v>
      </c>
      <c r="N14">
        <v>1.790891</v>
      </c>
      <c r="O14">
        <v>2.2496619999999998</v>
      </c>
      <c r="P14">
        <v>2.5969340000000001</v>
      </c>
      <c r="Q14">
        <v>2.203093</v>
      </c>
      <c r="R14">
        <v>2.738829</v>
      </c>
      <c r="S14">
        <v>2.7309800000000002</v>
      </c>
      <c r="T14">
        <v>2.8441969999999999</v>
      </c>
      <c r="U14">
        <v>2.7644190000000002</v>
      </c>
      <c r="V14">
        <v>1.4924660000000001</v>
      </c>
      <c r="W14">
        <v>1.570268</v>
      </c>
      <c r="X14">
        <v>1.382654</v>
      </c>
      <c r="Y14">
        <v>1.746696</v>
      </c>
      <c r="Z14">
        <v>1.898795</v>
      </c>
      <c r="AA14">
        <v>1.893211</v>
      </c>
      <c r="AB14" t="str">
        <f>_xlfn.XLOOKUP($A14, DEG!$B:$B, DEG!$E:$E, "not sig")</f>
        <v>not sig</v>
      </c>
      <c r="AC14" t="str">
        <f>IFERROR(VALUE(_xlfn.XLOOKUP($A14, DEG!$B:$B, DEG!$D:$D)), "")</f>
        <v/>
      </c>
    </row>
    <row r="15" spans="1:29" hidden="1" x14ac:dyDescent="0.3">
      <c r="A15" t="s">
        <v>55</v>
      </c>
      <c r="B15" t="s">
        <v>56</v>
      </c>
      <c r="C15" t="s">
        <v>34</v>
      </c>
      <c r="D15">
        <v>7.940315</v>
      </c>
      <c r="E15">
        <v>7.6020029999999998</v>
      </c>
      <c r="F15">
        <v>8.6850760000000005</v>
      </c>
      <c r="G15">
        <v>7.8626370000000003</v>
      </c>
      <c r="H15">
        <v>7.5337670000000001</v>
      </c>
      <c r="I15">
        <v>7.594347</v>
      </c>
      <c r="J15">
        <v>7.9061919999999999</v>
      </c>
      <c r="K15">
        <v>8.1441420000000004</v>
      </c>
      <c r="L15">
        <v>8.3580579999999998</v>
      </c>
      <c r="M15">
        <v>7.8992719999999998</v>
      </c>
      <c r="N15">
        <v>7.4305890000000003</v>
      </c>
      <c r="O15">
        <v>8.6667830000000006</v>
      </c>
      <c r="P15">
        <v>9.2861360000000008</v>
      </c>
      <c r="Q15">
        <v>9.5771139999999999</v>
      </c>
      <c r="R15">
        <v>9.9271589999999996</v>
      </c>
      <c r="S15">
        <v>8.0880880000000008</v>
      </c>
      <c r="T15">
        <v>7.5540419999999999</v>
      </c>
      <c r="U15">
        <v>7.6273850000000003</v>
      </c>
      <c r="V15">
        <v>8.7906560000000002</v>
      </c>
      <c r="W15">
        <v>8.1182060000000007</v>
      </c>
      <c r="X15">
        <v>8.3488450000000007</v>
      </c>
      <c r="Y15">
        <v>8.6933000000000007</v>
      </c>
      <c r="Z15">
        <v>8.566929</v>
      </c>
      <c r="AA15">
        <v>7.6317820000000003</v>
      </c>
      <c r="AB15" t="str">
        <f>_xlfn.XLOOKUP($A15, DEG!$B:$B, DEG!$E:$E, "not sig")</f>
        <v>not sig</v>
      </c>
      <c r="AC15" t="str">
        <f>IFERROR(VALUE(_xlfn.XLOOKUP($A15, DEG!$B:$B, DEG!$D:$D)), "")</f>
        <v/>
      </c>
    </row>
    <row r="16" spans="1:29" hidden="1" x14ac:dyDescent="0.3">
      <c r="A16" t="s">
        <v>57</v>
      </c>
      <c r="B16" t="s">
        <v>58</v>
      </c>
      <c r="C16" t="s">
        <v>34</v>
      </c>
      <c r="D16">
        <v>4.2633599999999996</v>
      </c>
      <c r="E16">
        <v>3.7190080000000001</v>
      </c>
      <c r="F16">
        <v>3.6744119999999998</v>
      </c>
      <c r="G16">
        <v>10.78505</v>
      </c>
      <c r="H16">
        <v>10.792669999999999</v>
      </c>
      <c r="I16">
        <v>10.70368</v>
      </c>
      <c r="J16">
        <v>9.8424160000000001</v>
      </c>
      <c r="K16">
        <v>9.5126609999999996</v>
      </c>
      <c r="L16">
        <v>9.6200670000000006</v>
      </c>
      <c r="M16">
        <v>9.7497399999999992</v>
      </c>
      <c r="N16">
        <v>9.5873720000000002</v>
      </c>
      <c r="O16">
        <v>9.702242</v>
      </c>
      <c r="P16">
        <v>4.840827</v>
      </c>
      <c r="Q16">
        <v>2.8713120000000001</v>
      </c>
      <c r="R16">
        <v>4.0558959999999997</v>
      </c>
      <c r="S16">
        <v>10.87307</v>
      </c>
      <c r="T16">
        <v>11.197950000000001</v>
      </c>
      <c r="U16">
        <v>10.900690000000001</v>
      </c>
      <c r="V16">
        <v>10.36351</v>
      </c>
      <c r="W16">
        <v>10.03801</v>
      </c>
      <c r="X16">
        <v>10.120240000000001</v>
      </c>
      <c r="Y16">
        <v>10.45027</v>
      </c>
      <c r="Z16">
        <v>10.042619999999999</v>
      </c>
      <c r="AA16">
        <v>10.420159999999999</v>
      </c>
      <c r="AB16" t="str">
        <f>_xlfn.XLOOKUP($A16, DEG!$B:$B, DEG!$E:$E, "not sig")</f>
        <v>not sig</v>
      </c>
      <c r="AC16" t="str">
        <f>IFERROR(VALUE(_xlfn.XLOOKUP($A16, DEG!$B:$B, DEG!$D:$D)), "")</f>
        <v/>
      </c>
    </row>
    <row r="17" spans="1:29" hidden="1" x14ac:dyDescent="0.3">
      <c r="A17" t="s">
        <v>59</v>
      </c>
      <c r="B17" t="s">
        <v>60</v>
      </c>
      <c r="C17" t="s">
        <v>34</v>
      </c>
      <c r="D17">
        <v>7.9908780000000004</v>
      </c>
      <c r="E17">
        <v>7.8088519999999999</v>
      </c>
      <c r="F17">
        <v>8.0552650000000003</v>
      </c>
      <c r="G17">
        <v>8.3051189999999995</v>
      </c>
      <c r="H17">
        <v>7.7960089999999997</v>
      </c>
      <c r="I17">
        <v>7.9665790000000003</v>
      </c>
      <c r="J17">
        <v>8.2240599999999997</v>
      </c>
      <c r="K17">
        <v>8.3985420000000008</v>
      </c>
      <c r="L17">
        <v>8.2359580000000001</v>
      </c>
      <c r="M17">
        <v>8.4942639999999994</v>
      </c>
      <c r="N17">
        <v>8.9182600000000001</v>
      </c>
      <c r="O17">
        <v>8.7740709999999993</v>
      </c>
      <c r="P17">
        <v>7.5299230000000001</v>
      </c>
      <c r="Q17">
        <v>7.2916049999999997</v>
      </c>
      <c r="R17">
        <v>8.1941279999999992</v>
      </c>
      <c r="S17">
        <v>7.3467880000000001</v>
      </c>
      <c r="T17">
        <v>7.4964250000000003</v>
      </c>
      <c r="U17">
        <v>7.362425</v>
      </c>
      <c r="V17">
        <v>6.7032400000000001</v>
      </c>
      <c r="W17">
        <v>6.9129930000000002</v>
      </c>
      <c r="X17">
        <v>7.067374</v>
      </c>
      <c r="Y17">
        <v>7.5689019999999996</v>
      </c>
      <c r="Z17">
        <v>7.968102</v>
      </c>
      <c r="AA17">
        <v>7.9209269999999998</v>
      </c>
      <c r="AB17" t="str">
        <f>_xlfn.XLOOKUP($A17, DEG!$B:$B, DEG!$E:$E, "not sig")</f>
        <v>not sig</v>
      </c>
      <c r="AC17" t="str">
        <f>IFERROR(VALUE(_xlfn.XLOOKUP($A17, DEG!$B:$B, DEG!$D:$D)), "")</f>
        <v/>
      </c>
    </row>
    <row r="18" spans="1:29" x14ac:dyDescent="0.3">
      <c r="A18" t="s">
        <v>61</v>
      </c>
      <c r="B18" t="s">
        <v>62</v>
      </c>
      <c r="C18" t="s">
        <v>28</v>
      </c>
      <c r="D18">
        <v>8.0134070000000008</v>
      </c>
      <c r="E18">
        <v>2.9862310000000001</v>
      </c>
      <c r="F18">
        <v>2.9948549999999998</v>
      </c>
      <c r="G18">
        <v>3.6540499999999998</v>
      </c>
      <c r="H18">
        <v>5.0571840000000003</v>
      </c>
      <c r="I18">
        <v>4.7910700000000004</v>
      </c>
      <c r="J18">
        <v>2.3341880000000002</v>
      </c>
      <c r="K18">
        <v>1.884641</v>
      </c>
      <c r="L18">
        <v>1.8719650000000001</v>
      </c>
      <c r="M18">
        <v>2.459886</v>
      </c>
      <c r="N18">
        <v>2.2943760000000002</v>
      </c>
      <c r="O18">
        <v>2.1942759999999999</v>
      </c>
      <c r="P18">
        <v>7.9301690000000002</v>
      </c>
      <c r="Q18">
        <v>9.3280840000000005</v>
      </c>
      <c r="R18">
        <v>8.0563570000000002</v>
      </c>
      <c r="S18">
        <v>5.8386129999999996</v>
      </c>
      <c r="T18">
        <v>6.228478</v>
      </c>
      <c r="U18">
        <v>11.735580000000001</v>
      </c>
      <c r="V18">
        <v>6.3561769999999997</v>
      </c>
      <c r="W18">
        <v>6.0984189999999998</v>
      </c>
      <c r="X18">
        <v>6.5459889999999996</v>
      </c>
      <c r="Y18">
        <v>6.3250229999999998</v>
      </c>
      <c r="Z18">
        <v>6.8895920000000004</v>
      </c>
      <c r="AA18">
        <v>6.3445850000000004</v>
      </c>
      <c r="AB18" t="str">
        <f>_xlfn.XLOOKUP($A18, DEG!$B:$B, DEG!$E:$E, "not sig")</f>
        <v>7.06134552179982e-05</v>
      </c>
      <c r="AC18">
        <f>IFERROR(VALUE(_xlfn.XLOOKUP($A18, DEG!$B:$B, DEG!$D:$D)), "")</f>
        <v>3.9284114166666702</v>
      </c>
    </row>
    <row r="19" spans="1:29" x14ac:dyDescent="0.3">
      <c r="A19" t="s">
        <v>63</v>
      </c>
      <c r="B19" t="s">
        <v>64</v>
      </c>
      <c r="C19" t="s">
        <v>28</v>
      </c>
      <c r="D19">
        <v>3.6401279999999998</v>
      </c>
      <c r="E19">
        <v>3.7726289999999998</v>
      </c>
      <c r="F19">
        <v>3.8080940000000001</v>
      </c>
      <c r="G19">
        <v>4.0067009999999996</v>
      </c>
      <c r="H19">
        <v>3.8339259999999999</v>
      </c>
      <c r="I19">
        <v>4.749282</v>
      </c>
      <c r="J19">
        <v>2.1888320000000001</v>
      </c>
      <c r="K19">
        <v>3.458596</v>
      </c>
      <c r="L19">
        <v>2.3068029999999999</v>
      </c>
      <c r="M19">
        <v>2.0670730000000002</v>
      </c>
      <c r="N19">
        <v>2.0929690000000001</v>
      </c>
      <c r="O19">
        <v>2.8908330000000002</v>
      </c>
      <c r="P19">
        <v>5.0165259999999998</v>
      </c>
      <c r="Q19">
        <v>3.6733479999999998</v>
      </c>
      <c r="R19">
        <v>5.5967929999999999</v>
      </c>
      <c r="S19">
        <v>6.2793060000000001</v>
      </c>
      <c r="T19">
        <v>7.5445349999999998</v>
      </c>
      <c r="U19">
        <v>6.7606780000000004</v>
      </c>
      <c r="V19">
        <v>5.9888209999999997</v>
      </c>
      <c r="W19">
        <v>5.3723919999999996</v>
      </c>
      <c r="X19">
        <v>6.0349250000000003</v>
      </c>
      <c r="Y19">
        <v>5.6076569999999997</v>
      </c>
      <c r="Z19">
        <v>6.1253339999999996</v>
      </c>
      <c r="AA19">
        <v>4.5557049999999997</v>
      </c>
      <c r="AB19" t="str">
        <f>_xlfn.XLOOKUP($A19, DEG!$B:$B, DEG!$E:$E, "not sig")</f>
        <v>1.1802497234126e-05</v>
      </c>
      <c r="AC19">
        <f>IFERROR(VALUE(_xlfn.XLOOKUP($A19, DEG!$B:$B, DEG!$D:$D)), "")</f>
        <v>2.47834616666667</v>
      </c>
    </row>
    <row r="20" spans="1:29" hidden="1" x14ac:dyDescent="0.3">
      <c r="A20" t="s">
        <v>65</v>
      </c>
      <c r="B20" t="s">
        <v>66</v>
      </c>
      <c r="C20" t="s">
        <v>34</v>
      </c>
      <c r="D20">
        <v>4.072298</v>
      </c>
      <c r="E20">
        <v>4.4089720000000003</v>
      </c>
      <c r="F20">
        <v>3.9998469999999999</v>
      </c>
      <c r="G20">
        <v>4.4483259999999998</v>
      </c>
      <c r="H20">
        <v>4.6095309999999996</v>
      </c>
      <c r="I20">
        <v>4.4599359999999999</v>
      </c>
      <c r="J20">
        <v>2.9286940000000001</v>
      </c>
      <c r="K20">
        <v>2.441738</v>
      </c>
      <c r="L20">
        <v>2.7916759999999998</v>
      </c>
      <c r="M20">
        <v>2.3770929999999999</v>
      </c>
      <c r="N20">
        <v>3.6851660000000002</v>
      </c>
      <c r="O20">
        <v>2.4339080000000002</v>
      </c>
      <c r="P20">
        <v>5.1979670000000002</v>
      </c>
      <c r="Q20">
        <v>4.978739</v>
      </c>
      <c r="R20">
        <v>5.1712899999999999</v>
      </c>
      <c r="S20">
        <v>5.6545030000000001</v>
      </c>
      <c r="T20">
        <v>5.2054989999999997</v>
      </c>
      <c r="U20">
        <v>5.713686</v>
      </c>
      <c r="V20">
        <v>2.6048939999999998</v>
      </c>
      <c r="W20">
        <v>2.9751850000000002</v>
      </c>
      <c r="X20">
        <v>3.2505449999999998</v>
      </c>
      <c r="Y20">
        <v>2.7819129999999999</v>
      </c>
      <c r="Z20">
        <v>3.2533919999999998</v>
      </c>
      <c r="AA20">
        <v>2.81284</v>
      </c>
      <c r="AB20" t="str">
        <f>_xlfn.XLOOKUP($A20, DEG!$B:$B, DEG!$E:$E, "not sig")</f>
        <v>not sig</v>
      </c>
      <c r="AC20" t="str">
        <f>IFERROR(VALUE(_xlfn.XLOOKUP($A20, DEG!$B:$B, DEG!$D:$D)), "")</f>
        <v/>
      </c>
    </row>
    <row r="21" spans="1:29" hidden="1" x14ac:dyDescent="0.3">
      <c r="A21" t="s">
        <v>67</v>
      </c>
      <c r="B21" t="s">
        <v>68</v>
      </c>
      <c r="C21" t="s">
        <v>34</v>
      </c>
      <c r="D21">
        <v>7.882746</v>
      </c>
      <c r="E21">
        <v>7.8712600000000004</v>
      </c>
      <c r="F21">
        <v>8.5938590000000001</v>
      </c>
      <c r="G21">
        <v>9.0488929999999996</v>
      </c>
      <c r="H21">
        <v>9.1060850000000002</v>
      </c>
      <c r="I21">
        <v>9.0700140000000005</v>
      </c>
      <c r="J21">
        <v>8.7359950000000008</v>
      </c>
      <c r="K21">
        <v>8.5649599999999992</v>
      </c>
      <c r="L21">
        <v>8.8169450000000005</v>
      </c>
      <c r="M21">
        <v>9.0173719999999999</v>
      </c>
      <c r="N21">
        <v>8.9689779999999999</v>
      </c>
      <c r="O21">
        <v>8.8480109999999996</v>
      </c>
      <c r="P21">
        <v>7.1547729999999996</v>
      </c>
      <c r="Q21">
        <v>7.3275119999999996</v>
      </c>
      <c r="R21">
        <v>7.5984389999999999</v>
      </c>
      <c r="S21">
        <v>9.0213850000000004</v>
      </c>
      <c r="T21">
        <v>8.8666540000000005</v>
      </c>
      <c r="U21">
        <v>9.2836259999999999</v>
      </c>
      <c r="V21">
        <v>8.7450559999999999</v>
      </c>
      <c r="W21">
        <v>8.6255480000000002</v>
      </c>
      <c r="X21">
        <v>8.8326910000000005</v>
      </c>
      <c r="Y21">
        <v>8.5608730000000008</v>
      </c>
      <c r="Z21">
        <v>8.7759689999999999</v>
      </c>
      <c r="AA21">
        <v>7.8745830000000003</v>
      </c>
      <c r="AB21" t="str">
        <f>_xlfn.XLOOKUP($A21, DEG!$B:$B, DEG!$E:$E, "not sig")</f>
        <v>not sig</v>
      </c>
      <c r="AC21" t="str">
        <f>IFERROR(VALUE(_xlfn.XLOOKUP($A21, DEG!$B:$B, DEG!$D:$D)), "")</f>
        <v/>
      </c>
    </row>
    <row r="22" spans="1:29" x14ac:dyDescent="0.3">
      <c r="A22" t="s">
        <v>69</v>
      </c>
      <c r="B22" t="s">
        <v>70</v>
      </c>
      <c r="C22" t="s">
        <v>28</v>
      </c>
      <c r="D22">
        <v>3.4502299999999999</v>
      </c>
      <c r="E22">
        <v>3.5749369999999998</v>
      </c>
      <c r="F22">
        <v>3.6106910000000001</v>
      </c>
      <c r="G22">
        <v>3.1745999999999999</v>
      </c>
      <c r="H22">
        <v>2.9471289999999999</v>
      </c>
      <c r="I22">
        <v>3.215967</v>
      </c>
      <c r="J22">
        <v>2.9460950000000001</v>
      </c>
      <c r="K22">
        <v>2.8024879999999999</v>
      </c>
      <c r="L22">
        <v>2.6257679999999999</v>
      </c>
      <c r="M22">
        <v>2.9826359999999998</v>
      </c>
      <c r="N22">
        <v>3.2701259999999999</v>
      </c>
      <c r="O22">
        <v>2.3160560000000001</v>
      </c>
      <c r="P22">
        <v>6.5771269999999999</v>
      </c>
      <c r="Q22">
        <v>4.5673329999999996</v>
      </c>
      <c r="R22">
        <v>6.3413490000000001</v>
      </c>
      <c r="S22">
        <v>4.3150599999999999</v>
      </c>
      <c r="T22">
        <v>6.3309369999999996</v>
      </c>
      <c r="U22">
        <v>4.8356830000000004</v>
      </c>
      <c r="V22">
        <v>3.2606600000000001</v>
      </c>
      <c r="W22">
        <v>3.4949970000000001</v>
      </c>
      <c r="X22">
        <v>4.6093380000000002</v>
      </c>
      <c r="Y22">
        <v>5.0839749999999997</v>
      </c>
      <c r="Z22">
        <v>4.8717439999999996</v>
      </c>
      <c r="AA22">
        <v>5.4825689999999998</v>
      </c>
      <c r="AB22" t="str">
        <f>_xlfn.XLOOKUP($A22, DEG!$B:$B, DEG!$E:$E, "not sig")</f>
        <v>4.84336614123204e-05</v>
      </c>
      <c r="AC22">
        <f>IFERROR(VALUE(_xlfn.XLOOKUP($A22, DEG!$B:$B, DEG!$D:$D)), "")</f>
        <v>1.90450408333333</v>
      </c>
    </row>
    <row r="23" spans="1:29" hidden="1" x14ac:dyDescent="0.3">
      <c r="A23" t="s">
        <v>71</v>
      </c>
      <c r="B23" t="s">
        <v>72</v>
      </c>
      <c r="C23" t="s">
        <v>34</v>
      </c>
      <c r="D23">
        <v>2.9491420000000002</v>
      </c>
      <c r="E23">
        <v>2.710569</v>
      </c>
      <c r="F23">
        <v>2.5776309999999998</v>
      </c>
      <c r="G23">
        <v>2.9675569999999998</v>
      </c>
      <c r="H23">
        <v>3.184933</v>
      </c>
      <c r="I23">
        <v>3.1142089999999998</v>
      </c>
      <c r="J23">
        <v>2.4660150000000001</v>
      </c>
      <c r="K23">
        <v>1.7382379999999999</v>
      </c>
      <c r="L23">
        <v>2.139186</v>
      </c>
      <c r="M23">
        <v>1.508402</v>
      </c>
      <c r="N23">
        <v>1.7737069999999999</v>
      </c>
      <c r="O23">
        <v>1.768637</v>
      </c>
      <c r="P23">
        <v>2.8187479999999998</v>
      </c>
      <c r="Q23">
        <v>2.5969199999999999</v>
      </c>
      <c r="R23">
        <v>2.4993590000000001</v>
      </c>
      <c r="S23">
        <v>2.556775</v>
      </c>
      <c r="T23">
        <v>2.828255</v>
      </c>
      <c r="U23">
        <v>3.0166210000000002</v>
      </c>
      <c r="V23">
        <v>2.1768649999999998</v>
      </c>
      <c r="W23">
        <v>2.1721439999999999</v>
      </c>
      <c r="X23">
        <v>2.2734559999999999</v>
      </c>
      <c r="Y23">
        <v>2.0157769999999999</v>
      </c>
      <c r="Z23">
        <v>1.560101</v>
      </c>
      <c r="AA23">
        <v>1.8329230000000001</v>
      </c>
      <c r="AB23" t="str">
        <f>_xlfn.XLOOKUP($A23, DEG!$B:$B, DEG!$E:$E, "not sig")</f>
        <v>not sig</v>
      </c>
      <c r="AC23" t="str">
        <f>IFERROR(VALUE(_xlfn.XLOOKUP($A23, DEG!$B:$B, DEG!$D:$D)), "")</f>
        <v/>
      </c>
    </row>
    <row r="24" spans="1:29" hidden="1" x14ac:dyDescent="0.3">
      <c r="A24" t="s">
        <v>73</v>
      </c>
      <c r="B24" t="s">
        <v>74</v>
      </c>
      <c r="C24" t="s">
        <v>34</v>
      </c>
      <c r="D24">
        <v>5.5712739999999998</v>
      </c>
      <c r="E24">
        <v>5.2049289999999999</v>
      </c>
      <c r="F24">
        <v>5.5407299999999999</v>
      </c>
      <c r="G24">
        <v>5.8244389999999999</v>
      </c>
      <c r="H24">
        <v>6.0396520000000002</v>
      </c>
      <c r="I24">
        <v>6.1322140000000003</v>
      </c>
      <c r="J24">
        <v>3.8169819999999999</v>
      </c>
      <c r="K24">
        <v>3.6467999999999998</v>
      </c>
      <c r="L24">
        <v>4.2546780000000002</v>
      </c>
      <c r="M24">
        <v>3.6929340000000002</v>
      </c>
      <c r="N24">
        <v>3.7400910000000001</v>
      </c>
      <c r="O24">
        <v>2.702372</v>
      </c>
      <c r="P24">
        <v>5.8427730000000002</v>
      </c>
      <c r="Q24">
        <v>5.4365389999999998</v>
      </c>
      <c r="R24">
        <v>5.2223160000000002</v>
      </c>
      <c r="S24">
        <v>6.0671179999999998</v>
      </c>
      <c r="T24">
        <v>5.8076829999999999</v>
      </c>
      <c r="U24">
        <v>5.8824699999999996</v>
      </c>
      <c r="V24">
        <v>4.4877330000000004</v>
      </c>
      <c r="W24">
        <v>3.7461000000000002</v>
      </c>
      <c r="X24">
        <v>3.7391100000000002</v>
      </c>
      <c r="Y24">
        <v>3.6381990000000002</v>
      </c>
      <c r="Z24">
        <v>4.5126879999999998</v>
      </c>
      <c r="AA24">
        <v>4.4413609999999997</v>
      </c>
      <c r="AB24" t="str">
        <f>_xlfn.XLOOKUP($A24, DEG!$B:$B, DEG!$E:$E, "not sig")</f>
        <v>not sig</v>
      </c>
      <c r="AC24" t="str">
        <f>IFERROR(VALUE(_xlfn.XLOOKUP($A24, DEG!$B:$B, DEG!$D:$D)), "")</f>
        <v/>
      </c>
    </row>
    <row r="25" spans="1:29" hidden="1" x14ac:dyDescent="0.3">
      <c r="A25" t="s">
        <v>75</v>
      </c>
      <c r="B25" t="s">
        <v>76</v>
      </c>
      <c r="C25" t="s">
        <v>34</v>
      </c>
      <c r="D25">
        <v>2.2336740000000002</v>
      </c>
      <c r="E25">
        <v>3.0752619999999999</v>
      </c>
      <c r="F25">
        <v>4.649216</v>
      </c>
      <c r="G25">
        <v>3.7647710000000001</v>
      </c>
      <c r="H25">
        <v>2.9961159999999998</v>
      </c>
      <c r="I25">
        <v>3.0343960000000001</v>
      </c>
      <c r="J25">
        <v>3.6452659999999999</v>
      </c>
      <c r="K25">
        <v>3.061804</v>
      </c>
      <c r="L25">
        <v>2.9581979999999999</v>
      </c>
      <c r="M25">
        <v>3.1943950000000001</v>
      </c>
      <c r="N25">
        <v>3.9417659999999999</v>
      </c>
      <c r="O25">
        <v>3.4167510000000001</v>
      </c>
      <c r="P25">
        <v>3.8608600000000002</v>
      </c>
      <c r="Q25">
        <v>3.6749329999999998</v>
      </c>
      <c r="R25">
        <v>4.2074509999999998</v>
      </c>
      <c r="S25">
        <v>5.058808</v>
      </c>
      <c r="T25">
        <v>3.2213769999999999</v>
      </c>
      <c r="U25">
        <v>5.5235279999999998</v>
      </c>
      <c r="V25">
        <v>3.8876659999999998</v>
      </c>
      <c r="W25">
        <v>4.6471179999999999</v>
      </c>
      <c r="X25">
        <v>4.6009169999999999</v>
      </c>
      <c r="Y25">
        <v>4.1640050000000004</v>
      </c>
      <c r="Z25">
        <v>3.1859579999999998</v>
      </c>
      <c r="AA25">
        <v>2.9138549999999999</v>
      </c>
      <c r="AB25" t="str">
        <f>_xlfn.XLOOKUP($A25, DEG!$B:$B, DEG!$E:$E, "not sig")</f>
        <v>not sig</v>
      </c>
      <c r="AC25" t="str">
        <f>IFERROR(VALUE(_xlfn.XLOOKUP($A25, DEG!$B:$B, DEG!$D:$D)), "")</f>
        <v/>
      </c>
    </row>
    <row r="26" spans="1:29" hidden="1" x14ac:dyDescent="0.3">
      <c r="A26" t="s">
        <v>77</v>
      </c>
      <c r="B26" t="s">
        <v>78</v>
      </c>
      <c r="C26" t="s">
        <v>34</v>
      </c>
      <c r="D26">
        <v>4.6375039999999998</v>
      </c>
      <c r="E26">
        <v>3.4859110000000002</v>
      </c>
      <c r="F26">
        <v>4.2787949999999997</v>
      </c>
      <c r="G26">
        <v>3.6540810000000001</v>
      </c>
      <c r="H26">
        <v>4.6170499999999999</v>
      </c>
      <c r="I26">
        <v>4.5082050000000002</v>
      </c>
      <c r="J26">
        <v>2.3180619999999998</v>
      </c>
      <c r="K26">
        <v>3.11354</v>
      </c>
      <c r="L26">
        <v>3.4492919999999998</v>
      </c>
      <c r="M26">
        <v>1.9675579999999999</v>
      </c>
      <c r="N26">
        <v>2.9197630000000001</v>
      </c>
      <c r="O26">
        <v>3.0688960000000001</v>
      </c>
      <c r="P26">
        <v>3.7057039999999999</v>
      </c>
      <c r="Q26">
        <v>4.5123519999999999</v>
      </c>
      <c r="R26">
        <v>4.5385039999999996</v>
      </c>
      <c r="S26">
        <v>5.0087219999999997</v>
      </c>
      <c r="T26">
        <v>4.2644919999999997</v>
      </c>
      <c r="U26">
        <v>4.6077110000000001</v>
      </c>
      <c r="V26">
        <v>2.7198479999999998</v>
      </c>
      <c r="W26">
        <v>2.629156</v>
      </c>
      <c r="X26">
        <v>2.7752530000000002</v>
      </c>
      <c r="Y26">
        <v>2.7448350000000001</v>
      </c>
      <c r="Z26">
        <v>2.780545</v>
      </c>
      <c r="AA26">
        <v>2.67902</v>
      </c>
      <c r="AB26" t="str">
        <f>_xlfn.XLOOKUP($A26, DEG!$B:$B, DEG!$E:$E, "not sig")</f>
        <v>not sig</v>
      </c>
      <c r="AC26" t="str">
        <f>IFERROR(VALUE(_xlfn.XLOOKUP($A26, DEG!$B:$B, DEG!$D:$D)), "")</f>
        <v/>
      </c>
    </row>
    <row r="27" spans="1:29" hidden="1" x14ac:dyDescent="0.3">
      <c r="A27" t="s">
        <v>79</v>
      </c>
      <c r="B27" t="s">
        <v>80</v>
      </c>
      <c r="C27" t="s">
        <v>34</v>
      </c>
      <c r="D27">
        <v>2.9924140000000001</v>
      </c>
      <c r="E27">
        <v>3.2420800000000001</v>
      </c>
      <c r="F27">
        <v>2.4363929999999998</v>
      </c>
      <c r="G27">
        <v>3.6553870000000002</v>
      </c>
      <c r="H27">
        <v>3.232691</v>
      </c>
      <c r="I27">
        <v>2.454726</v>
      </c>
      <c r="J27">
        <v>2.5920920000000001</v>
      </c>
      <c r="K27">
        <v>1.933317</v>
      </c>
      <c r="L27">
        <v>1.808751</v>
      </c>
      <c r="M27">
        <v>2.0699649999999998</v>
      </c>
      <c r="N27">
        <v>2.003393</v>
      </c>
      <c r="O27">
        <v>1.9849330000000001</v>
      </c>
      <c r="P27">
        <v>2.8502839999999998</v>
      </c>
      <c r="Q27">
        <v>3.1887409999999998</v>
      </c>
      <c r="R27">
        <v>2.8250829999999998</v>
      </c>
      <c r="S27">
        <v>3.9624109999999999</v>
      </c>
      <c r="T27">
        <v>3.3049059999999999</v>
      </c>
      <c r="U27">
        <v>3.9868420000000002</v>
      </c>
      <c r="V27">
        <v>2.4086280000000002</v>
      </c>
      <c r="W27">
        <v>3.3275640000000002</v>
      </c>
      <c r="X27">
        <v>3.1844100000000002</v>
      </c>
      <c r="Y27">
        <v>3.20119</v>
      </c>
      <c r="Z27">
        <v>4.4210609999999999</v>
      </c>
      <c r="AA27">
        <v>5.0385439999999999</v>
      </c>
      <c r="AB27" t="str">
        <f>_xlfn.XLOOKUP($A27, DEG!$B:$B, DEG!$E:$E, "not sig")</f>
        <v>not sig</v>
      </c>
      <c r="AC27" t="str">
        <f>IFERROR(VALUE(_xlfn.XLOOKUP($A27, DEG!$B:$B, DEG!$D:$D)), "")</f>
        <v/>
      </c>
    </row>
    <row r="28" spans="1:29" hidden="1" x14ac:dyDescent="0.3">
      <c r="A28" t="s">
        <v>81</v>
      </c>
      <c r="B28" t="s">
        <v>82</v>
      </c>
      <c r="C28" t="s">
        <v>34</v>
      </c>
      <c r="D28">
        <v>2.1928589999999999</v>
      </c>
      <c r="E28">
        <v>2.5834100000000002</v>
      </c>
      <c r="F28">
        <v>2.4146139999999998</v>
      </c>
      <c r="G28">
        <v>2.6604860000000001</v>
      </c>
      <c r="H28">
        <v>2.8554659999999998</v>
      </c>
      <c r="I28">
        <v>3.056044</v>
      </c>
      <c r="J28">
        <v>1.802343</v>
      </c>
      <c r="K28">
        <v>1.719821</v>
      </c>
      <c r="L28">
        <v>2.4392209999999999</v>
      </c>
      <c r="M28">
        <v>1.626933</v>
      </c>
      <c r="N28">
        <v>1.625813</v>
      </c>
      <c r="O28">
        <v>1.5842799999999999</v>
      </c>
      <c r="P28">
        <v>2.382911</v>
      </c>
      <c r="Q28">
        <v>2.3540670000000001</v>
      </c>
      <c r="R28">
        <v>2.606557</v>
      </c>
      <c r="S28">
        <v>2.8191799999999998</v>
      </c>
      <c r="T28">
        <v>2.8742380000000001</v>
      </c>
      <c r="U28">
        <v>2.9567649999999999</v>
      </c>
      <c r="V28">
        <v>1.8386849999999999</v>
      </c>
      <c r="W28">
        <v>1.8241080000000001</v>
      </c>
      <c r="X28">
        <v>1.6004670000000001</v>
      </c>
      <c r="Y28">
        <v>1.4824580000000001</v>
      </c>
      <c r="Z28">
        <v>1.5123770000000001</v>
      </c>
      <c r="AA28">
        <v>1.768432</v>
      </c>
      <c r="AB28" t="str">
        <f>_xlfn.XLOOKUP($A28, DEG!$B:$B, DEG!$E:$E, "not sig")</f>
        <v>not sig</v>
      </c>
      <c r="AC28" t="str">
        <f>IFERROR(VALUE(_xlfn.XLOOKUP($A28, DEG!$B:$B, DEG!$D:$D)), "")</f>
        <v/>
      </c>
    </row>
    <row r="29" spans="1:29" x14ac:dyDescent="0.3">
      <c r="A29" t="s">
        <v>83</v>
      </c>
      <c r="B29" t="s">
        <v>84</v>
      </c>
      <c r="C29" t="s">
        <v>28</v>
      </c>
      <c r="D29">
        <v>2.823048</v>
      </c>
      <c r="E29">
        <v>3.5893839999999999</v>
      </c>
      <c r="F29">
        <v>3.4956839999999998</v>
      </c>
      <c r="G29">
        <v>3.51118</v>
      </c>
      <c r="H29">
        <v>3.6668980000000002</v>
      </c>
      <c r="I29">
        <v>3.6091030000000002</v>
      </c>
      <c r="J29">
        <v>1.8353189999999999</v>
      </c>
      <c r="K29">
        <v>2.4993409999999998</v>
      </c>
      <c r="L29">
        <v>2.6233059999999999</v>
      </c>
      <c r="M29">
        <v>2.5704289999999999</v>
      </c>
      <c r="N29">
        <v>2.5746869999999999</v>
      </c>
      <c r="O29">
        <v>2.2117559999999998</v>
      </c>
      <c r="P29">
        <v>3.6732610000000001</v>
      </c>
      <c r="Q29">
        <v>2.5578050000000001</v>
      </c>
      <c r="R29">
        <v>2.8519549999999998</v>
      </c>
      <c r="S29">
        <v>5.6736880000000003</v>
      </c>
      <c r="T29">
        <v>5.2296639999999996</v>
      </c>
      <c r="U29">
        <v>5.1594850000000001</v>
      </c>
      <c r="V29">
        <v>4.0309270000000001</v>
      </c>
      <c r="W29">
        <v>4.7773219999999998</v>
      </c>
      <c r="X29">
        <v>3.6864539999999999</v>
      </c>
      <c r="Y29">
        <v>4.0124219999999999</v>
      </c>
      <c r="Z29">
        <v>3.7031740000000002</v>
      </c>
      <c r="AA29">
        <v>2.6518109999999999</v>
      </c>
      <c r="AB29">
        <f>_xlfn.XLOOKUP($A29, DEG!$B:$B, DEG!$E:$E, "not sig")</f>
        <v>2.32376992544314E-2</v>
      </c>
      <c r="AC29">
        <f>IFERROR(VALUE(_xlfn.XLOOKUP($A29, DEG!$B:$B, DEG!$D:$D)), "")</f>
        <v>1.08315275</v>
      </c>
    </row>
    <row r="30" spans="1:29" hidden="1" x14ac:dyDescent="0.3">
      <c r="A30" t="s">
        <v>85</v>
      </c>
      <c r="B30" t="s">
        <v>86</v>
      </c>
      <c r="C30" t="s">
        <v>34</v>
      </c>
      <c r="D30">
        <v>3.9112040000000001</v>
      </c>
      <c r="E30">
        <v>3.6069339999999999</v>
      </c>
      <c r="F30">
        <v>4.0419280000000004</v>
      </c>
      <c r="G30">
        <v>3.434418</v>
      </c>
      <c r="H30">
        <v>3.6865000000000001</v>
      </c>
      <c r="I30">
        <v>3.4373490000000002</v>
      </c>
      <c r="J30">
        <v>3.4657909999999998</v>
      </c>
      <c r="K30">
        <v>2.9713620000000001</v>
      </c>
      <c r="L30">
        <v>4.7462879999999998</v>
      </c>
      <c r="M30">
        <v>3.3745449999999999</v>
      </c>
      <c r="N30">
        <v>4.5025969999999997</v>
      </c>
      <c r="O30">
        <v>2.9091770000000001</v>
      </c>
      <c r="P30">
        <v>3.6002230000000002</v>
      </c>
      <c r="Q30">
        <v>3.554894</v>
      </c>
      <c r="R30">
        <v>3.4288210000000001</v>
      </c>
      <c r="S30">
        <v>3.6423299999999998</v>
      </c>
      <c r="T30">
        <v>3.6170179999999998</v>
      </c>
      <c r="U30">
        <v>4.1590910000000001</v>
      </c>
      <c r="V30">
        <v>3.037407</v>
      </c>
      <c r="W30">
        <v>3.7432449999999999</v>
      </c>
      <c r="X30">
        <v>4.0322500000000003</v>
      </c>
      <c r="Y30">
        <v>2.3148019999999998</v>
      </c>
      <c r="Z30">
        <v>3.2332960000000002</v>
      </c>
      <c r="AA30">
        <v>2.86456</v>
      </c>
      <c r="AB30" t="str">
        <f>_xlfn.XLOOKUP($A30, DEG!$B:$B, DEG!$E:$E, "not sig")</f>
        <v>not sig</v>
      </c>
      <c r="AC30" t="str">
        <f>IFERROR(VALUE(_xlfn.XLOOKUP($A30, DEG!$B:$B, DEG!$D:$D)), "")</f>
        <v/>
      </c>
    </row>
    <row r="31" spans="1:29" hidden="1" x14ac:dyDescent="0.3">
      <c r="A31" t="s">
        <v>87</v>
      </c>
      <c r="B31" t="s">
        <v>88</v>
      </c>
      <c r="C31" t="s">
        <v>34</v>
      </c>
      <c r="D31">
        <v>4.8263249999999998</v>
      </c>
      <c r="E31">
        <v>4.2771299999999997</v>
      </c>
      <c r="F31">
        <v>4.3916620000000002</v>
      </c>
      <c r="G31">
        <v>4.8951969999999996</v>
      </c>
      <c r="H31">
        <v>5.2685500000000003</v>
      </c>
      <c r="I31">
        <v>5.1534009999999997</v>
      </c>
      <c r="J31">
        <v>3.2069730000000001</v>
      </c>
      <c r="K31">
        <v>2.5344090000000001</v>
      </c>
      <c r="L31">
        <v>3.1172010000000001</v>
      </c>
      <c r="M31">
        <v>2.623742</v>
      </c>
      <c r="N31">
        <v>3.5840740000000002</v>
      </c>
      <c r="O31">
        <v>2.5316510000000001</v>
      </c>
      <c r="P31">
        <v>4.6884399999999999</v>
      </c>
      <c r="Q31">
        <v>5.5127629999999996</v>
      </c>
      <c r="R31">
        <v>4.210369</v>
      </c>
      <c r="S31">
        <v>5.5390430000000004</v>
      </c>
      <c r="T31">
        <v>5.0479440000000002</v>
      </c>
      <c r="U31">
        <v>5.0758089999999996</v>
      </c>
      <c r="V31">
        <v>3.250953</v>
      </c>
      <c r="W31">
        <v>2.5091169999999998</v>
      </c>
      <c r="X31">
        <v>3.342231</v>
      </c>
      <c r="Y31">
        <v>2.476375</v>
      </c>
      <c r="Z31">
        <v>2.8574890000000002</v>
      </c>
      <c r="AA31">
        <v>2.8022649999999998</v>
      </c>
      <c r="AB31" t="str">
        <f>_xlfn.XLOOKUP($A31, DEG!$B:$B, DEG!$E:$E, "not sig")</f>
        <v>not sig</v>
      </c>
      <c r="AC31" t="str">
        <f>IFERROR(VALUE(_xlfn.XLOOKUP($A31, DEG!$B:$B, DEG!$D:$D)), "")</f>
        <v/>
      </c>
    </row>
    <row r="32" spans="1:29" hidden="1" x14ac:dyDescent="0.3">
      <c r="A32" t="s">
        <v>89</v>
      </c>
      <c r="B32" t="s">
        <v>90</v>
      </c>
      <c r="C32" t="s">
        <v>34</v>
      </c>
      <c r="D32">
        <v>5.1305319999999996</v>
      </c>
      <c r="E32">
        <v>5.8843959999999997</v>
      </c>
      <c r="F32">
        <v>5.7415839999999996</v>
      </c>
      <c r="G32">
        <v>6.6852729999999996</v>
      </c>
      <c r="H32">
        <v>7.2472029999999998</v>
      </c>
      <c r="I32">
        <v>5.4010379999999998</v>
      </c>
      <c r="J32">
        <v>5.3602600000000002</v>
      </c>
      <c r="K32">
        <v>5.3418060000000001</v>
      </c>
      <c r="L32">
        <v>5.043444</v>
      </c>
      <c r="M32">
        <v>5.7584869999999997</v>
      </c>
      <c r="N32">
        <v>5.1713089999999999</v>
      </c>
      <c r="O32">
        <v>4.9903940000000002</v>
      </c>
      <c r="P32">
        <v>7.3520479999999999</v>
      </c>
      <c r="Q32">
        <v>7.7399509999999996</v>
      </c>
      <c r="R32">
        <v>7.2255960000000004</v>
      </c>
      <c r="S32">
        <v>7.421621</v>
      </c>
      <c r="T32">
        <v>5.7217979999999997</v>
      </c>
      <c r="U32">
        <v>7.1801139999999997</v>
      </c>
      <c r="V32">
        <v>5.4692679999999996</v>
      </c>
      <c r="W32">
        <v>6.0420199999999999</v>
      </c>
      <c r="X32">
        <v>5.9846899999999996</v>
      </c>
      <c r="Y32">
        <v>5.799207</v>
      </c>
      <c r="Z32">
        <v>6.3482219999999998</v>
      </c>
      <c r="AA32">
        <v>5.8953790000000001</v>
      </c>
      <c r="AB32" t="str">
        <f>_xlfn.XLOOKUP($A32, DEG!$B:$B, DEG!$E:$E, "not sig")</f>
        <v>not sig</v>
      </c>
      <c r="AC32" t="str">
        <f>IFERROR(VALUE(_xlfn.XLOOKUP($A32, DEG!$B:$B, DEG!$D:$D)), "")</f>
        <v/>
      </c>
    </row>
    <row r="33" spans="1:29" x14ac:dyDescent="0.3">
      <c r="A33" t="s">
        <v>91</v>
      </c>
      <c r="B33" t="s">
        <v>92</v>
      </c>
      <c r="C33" t="s">
        <v>28</v>
      </c>
      <c r="D33">
        <v>3.7633930000000002</v>
      </c>
      <c r="E33">
        <v>4.4191839999999996</v>
      </c>
      <c r="F33">
        <v>4.7263080000000004</v>
      </c>
      <c r="G33">
        <v>4.7575269999999996</v>
      </c>
      <c r="H33">
        <v>5.4700519999999999</v>
      </c>
      <c r="I33">
        <v>3.6586249999999998</v>
      </c>
      <c r="J33">
        <v>4.4960620000000002</v>
      </c>
      <c r="K33">
        <v>3.7742100000000001</v>
      </c>
      <c r="L33">
        <v>4.7220279999999999</v>
      </c>
      <c r="M33">
        <v>4.5794280000000001</v>
      </c>
      <c r="N33">
        <v>3.6181549999999998</v>
      </c>
      <c r="O33">
        <v>4.4359739999999999</v>
      </c>
      <c r="P33">
        <v>6.3488689999999997</v>
      </c>
      <c r="Q33">
        <v>5.4803360000000003</v>
      </c>
      <c r="R33">
        <v>6.6960150000000001</v>
      </c>
      <c r="S33">
        <v>6.8371940000000002</v>
      </c>
      <c r="T33">
        <v>6.7035020000000003</v>
      </c>
      <c r="U33">
        <v>6.8430169999999997</v>
      </c>
      <c r="V33">
        <v>6.2931280000000003</v>
      </c>
      <c r="W33">
        <v>6.317596</v>
      </c>
      <c r="X33">
        <v>6.4465339999999998</v>
      </c>
      <c r="Y33">
        <v>5.9281550000000003</v>
      </c>
      <c r="Z33">
        <v>6.9379280000000003</v>
      </c>
      <c r="AA33">
        <v>6.3631320000000002</v>
      </c>
      <c r="AB33" t="str">
        <f>_xlfn.XLOOKUP($A33, DEG!$B:$B, DEG!$E:$E, "not sig")</f>
        <v>1.72748069582955e-08</v>
      </c>
      <c r="AC33">
        <f>IFERROR(VALUE(_xlfn.XLOOKUP($A33, DEG!$B:$B, DEG!$D:$D)), "")</f>
        <v>2.0645383333333398</v>
      </c>
    </row>
    <row r="34" spans="1:29" hidden="1" x14ac:dyDescent="0.3">
      <c r="A34" t="s">
        <v>93</v>
      </c>
      <c r="B34" t="s">
        <v>94</v>
      </c>
      <c r="C34" t="s">
        <v>34</v>
      </c>
      <c r="D34">
        <v>2.8418299999999999</v>
      </c>
      <c r="E34">
        <v>4.773828</v>
      </c>
      <c r="F34">
        <v>3.6205270000000001</v>
      </c>
      <c r="G34">
        <v>5.787026</v>
      </c>
      <c r="H34">
        <v>6.6088050000000003</v>
      </c>
      <c r="I34">
        <v>5.5560210000000003</v>
      </c>
      <c r="J34">
        <v>5.3594889999999999</v>
      </c>
      <c r="K34">
        <v>5.9947059999999999</v>
      </c>
      <c r="L34">
        <v>4.8808109999999996</v>
      </c>
      <c r="M34">
        <v>6.2127920000000003</v>
      </c>
      <c r="N34">
        <v>4.8182470000000004</v>
      </c>
      <c r="O34">
        <v>3.3626520000000002</v>
      </c>
      <c r="P34">
        <v>3.9785330000000001</v>
      </c>
      <c r="Q34">
        <v>3.9000400000000002</v>
      </c>
      <c r="R34">
        <v>4.1737200000000003</v>
      </c>
      <c r="S34">
        <v>5.0787399999999998</v>
      </c>
      <c r="T34">
        <v>4.1209889999999998</v>
      </c>
      <c r="U34">
        <v>4.8643020000000003</v>
      </c>
      <c r="V34">
        <v>6.3316249999999998</v>
      </c>
      <c r="W34">
        <v>4.9615710000000002</v>
      </c>
      <c r="X34">
        <v>5.3385350000000003</v>
      </c>
      <c r="Y34">
        <v>5.7691540000000003</v>
      </c>
      <c r="Z34">
        <v>5.1905570000000001</v>
      </c>
      <c r="AA34">
        <v>4.1096870000000001</v>
      </c>
      <c r="AB34" t="str">
        <f>_xlfn.XLOOKUP($A34, DEG!$B:$B, DEG!$E:$E, "not sig")</f>
        <v>not sig</v>
      </c>
      <c r="AC34" t="str">
        <f>IFERROR(VALUE(_xlfn.XLOOKUP($A34, DEG!$B:$B, DEG!$D:$D)), "")</f>
        <v/>
      </c>
    </row>
    <row r="35" spans="1:29" hidden="1" x14ac:dyDescent="0.3">
      <c r="A35" t="s">
        <v>95</v>
      </c>
      <c r="B35" t="s">
        <v>96</v>
      </c>
      <c r="C35" t="s">
        <v>34</v>
      </c>
      <c r="D35">
        <v>9.2585940000000004</v>
      </c>
      <c r="E35">
        <v>9.1671379999999996</v>
      </c>
      <c r="F35">
        <v>9.3577449999999995</v>
      </c>
      <c r="G35">
        <v>10.237109999999999</v>
      </c>
      <c r="H35">
        <v>10.073930000000001</v>
      </c>
      <c r="I35">
        <v>10.17923</v>
      </c>
      <c r="J35">
        <v>9.9545569999999994</v>
      </c>
      <c r="K35">
        <v>9.7247920000000008</v>
      </c>
      <c r="L35">
        <v>9.5838059999999992</v>
      </c>
      <c r="M35">
        <v>9.6991289999999992</v>
      </c>
      <c r="N35">
        <v>9.5232759999999992</v>
      </c>
      <c r="O35">
        <v>9.5401190000000007</v>
      </c>
      <c r="P35">
        <v>9.2071889999999996</v>
      </c>
      <c r="Q35">
        <v>7.7637929999999997</v>
      </c>
      <c r="R35">
        <v>9.1706070000000004</v>
      </c>
      <c r="S35">
        <v>9.2476889999999994</v>
      </c>
      <c r="T35">
        <v>8.8562999999999992</v>
      </c>
      <c r="U35">
        <v>9.6356789999999997</v>
      </c>
      <c r="V35">
        <v>8.4184590000000004</v>
      </c>
      <c r="W35">
        <v>8.1389060000000004</v>
      </c>
      <c r="X35">
        <v>8.3555729999999997</v>
      </c>
      <c r="Y35">
        <v>8.6624879999999997</v>
      </c>
      <c r="Z35">
        <v>8.8870529999999999</v>
      </c>
      <c r="AA35">
        <v>8.4852919999999994</v>
      </c>
      <c r="AB35" t="str">
        <f>_xlfn.XLOOKUP($A35, DEG!$B:$B, DEG!$E:$E, "not sig")</f>
        <v>not sig</v>
      </c>
      <c r="AC35" t="str">
        <f>IFERROR(VALUE(_xlfn.XLOOKUP($A35, DEG!$B:$B, DEG!$D:$D)), "")</f>
        <v/>
      </c>
    </row>
    <row r="36" spans="1:29" hidden="1" x14ac:dyDescent="0.3">
      <c r="A36" t="s">
        <v>97</v>
      </c>
      <c r="B36" t="s">
        <v>98</v>
      </c>
      <c r="C36" t="s">
        <v>34</v>
      </c>
      <c r="D36">
        <v>2.8879440000000001</v>
      </c>
      <c r="E36">
        <v>2.738013</v>
      </c>
      <c r="F36">
        <v>3.4457770000000001</v>
      </c>
      <c r="G36">
        <v>2.7707850000000001</v>
      </c>
      <c r="H36">
        <v>2.6236350000000002</v>
      </c>
      <c r="I36">
        <v>2.6863030000000001</v>
      </c>
      <c r="J36">
        <v>2.451279</v>
      </c>
      <c r="K36">
        <v>2.149076</v>
      </c>
      <c r="L36">
        <v>1.742483</v>
      </c>
      <c r="M36">
        <v>1.966343</v>
      </c>
      <c r="N36">
        <v>1.977603</v>
      </c>
      <c r="O36">
        <v>1.889073</v>
      </c>
      <c r="P36">
        <v>3.555485</v>
      </c>
      <c r="Q36">
        <v>2.7039200000000001</v>
      </c>
      <c r="R36">
        <v>2.9052389999999999</v>
      </c>
      <c r="S36">
        <v>2.9679920000000002</v>
      </c>
      <c r="T36">
        <v>3.148755</v>
      </c>
      <c r="U36">
        <v>3.158191</v>
      </c>
      <c r="V36">
        <v>1.561156</v>
      </c>
      <c r="W36">
        <v>1.516586</v>
      </c>
      <c r="X36">
        <v>2.447003</v>
      </c>
      <c r="Y36">
        <v>1.8379779999999999</v>
      </c>
      <c r="Z36">
        <v>2.111904</v>
      </c>
      <c r="AA36">
        <v>1.804907</v>
      </c>
      <c r="AB36" t="str">
        <f>_xlfn.XLOOKUP($A36, DEG!$B:$B, DEG!$E:$E, "not sig")</f>
        <v>not sig</v>
      </c>
      <c r="AC36" t="str">
        <f>IFERROR(VALUE(_xlfn.XLOOKUP($A36, DEG!$B:$B, DEG!$D:$D)), "")</f>
        <v/>
      </c>
    </row>
    <row r="37" spans="1:29" x14ac:dyDescent="0.3">
      <c r="A37" t="s">
        <v>99</v>
      </c>
      <c r="B37" t="s">
        <v>100</v>
      </c>
      <c r="C37" t="s">
        <v>28</v>
      </c>
      <c r="D37">
        <v>7.1097010000000003</v>
      </c>
      <c r="E37">
        <v>8.0553760000000008</v>
      </c>
      <c r="F37">
        <v>8.3274150000000002</v>
      </c>
      <c r="G37">
        <v>7.6144499999999997</v>
      </c>
      <c r="H37">
        <v>7.6662939999999997</v>
      </c>
      <c r="I37">
        <v>6.9410699999999999</v>
      </c>
      <c r="J37">
        <v>5.9842579999999996</v>
      </c>
      <c r="K37">
        <v>6.6082289999999997</v>
      </c>
      <c r="L37">
        <v>6.0093059999999996</v>
      </c>
      <c r="M37">
        <v>5.98895</v>
      </c>
      <c r="N37">
        <v>6.646306</v>
      </c>
      <c r="O37">
        <v>5.5929779999999996</v>
      </c>
      <c r="P37">
        <v>13.16141</v>
      </c>
      <c r="Q37">
        <v>10.205399999999999</v>
      </c>
      <c r="R37">
        <v>12.684519999999999</v>
      </c>
      <c r="S37">
        <v>11.15447</v>
      </c>
      <c r="T37">
        <v>11.52632</v>
      </c>
      <c r="U37">
        <v>10.55583</v>
      </c>
      <c r="V37">
        <v>7.8026260000000001</v>
      </c>
      <c r="W37">
        <v>8.9092970000000005</v>
      </c>
      <c r="X37">
        <v>9.184215</v>
      </c>
      <c r="Y37">
        <v>9.143141</v>
      </c>
      <c r="Z37">
        <v>9.9229149999999997</v>
      </c>
      <c r="AA37">
        <v>9.5549320000000009</v>
      </c>
      <c r="AB37" t="str">
        <f>_xlfn.XLOOKUP($A37, DEG!$B:$B, DEG!$E:$E, "not sig")</f>
        <v>6.03347689988967e-06</v>
      </c>
      <c r="AC37">
        <f>IFERROR(VALUE(_xlfn.XLOOKUP($A37, DEG!$B:$B, DEG!$D:$D)), "")</f>
        <v>3.4383952500000001</v>
      </c>
    </row>
    <row r="38" spans="1:29" x14ac:dyDescent="0.3">
      <c r="A38" t="s">
        <v>101</v>
      </c>
      <c r="B38" t="s">
        <v>102</v>
      </c>
      <c r="C38" t="s">
        <v>28</v>
      </c>
      <c r="D38">
        <v>8.1619820000000001</v>
      </c>
      <c r="E38">
        <v>8.4331399999999999</v>
      </c>
      <c r="F38">
        <v>8.1287640000000003</v>
      </c>
      <c r="G38">
        <v>9.1901329999999994</v>
      </c>
      <c r="H38">
        <v>9.7313120000000009</v>
      </c>
      <c r="I38">
        <v>9.578144</v>
      </c>
      <c r="J38">
        <v>7.8631330000000004</v>
      </c>
      <c r="K38">
        <v>8.6045870000000004</v>
      </c>
      <c r="L38">
        <v>8.1814040000000006</v>
      </c>
      <c r="M38">
        <v>8.3313229999999994</v>
      </c>
      <c r="N38">
        <v>8.1158450000000002</v>
      </c>
      <c r="O38">
        <v>8.304748</v>
      </c>
      <c r="P38">
        <v>8.5717400000000001</v>
      </c>
      <c r="Q38">
        <v>10.42906</v>
      </c>
      <c r="R38">
        <v>10.216089999999999</v>
      </c>
      <c r="S38">
        <v>12.439299999999999</v>
      </c>
      <c r="T38">
        <v>12.297330000000001</v>
      </c>
      <c r="U38">
        <v>12.071580000000001</v>
      </c>
      <c r="V38">
        <v>12.409509999999999</v>
      </c>
      <c r="W38">
        <v>11.619870000000001</v>
      </c>
      <c r="X38">
        <v>11.27422</v>
      </c>
      <c r="Y38">
        <v>11.393969999999999</v>
      </c>
      <c r="Z38">
        <v>11.229570000000001</v>
      </c>
      <c r="AA38">
        <v>10.741400000000001</v>
      </c>
      <c r="AB38" t="str">
        <f>_xlfn.XLOOKUP($A38, DEG!$B:$B, DEG!$E:$E, "not sig")</f>
        <v>1.62075854151971e-06</v>
      </c>
      <c r="AC38">
        <f>IFERROR(VALUE(_xlfn.XLOOKUP($A38, DEG!$B:$B, DEG!$D:$D)), "")</f>
        <v>2.6724270833333299</v>
      </c>
    </row>
    <row r="39" spans="1:29" hidden="1" x14ac:dyDescent="0.3">
      <c r="A39" t="s">
        <v>103</v>
      </c>
      <c r="B39" t="s">
        <v>104</v>
      </c>
      <c r="C39" t="s">
        <v>34</v>
      </c>
      <c r="D39">
        <v>3.1542180000000002</v>
      </c>
      <c r="E39">
        <v>2.4175879999999998</v>
      </c>
      <c r="F39">
        <v>2.610751</v>
      </c>
      <c r="G39">
        <v>3.2694990000000002</v>
      </c>
      <c r="H39">
        <v>3.5613929999999998</v>
      </c>
      <c r="I39">
        <v>3.2154769999999999</v>
      </c>
      <c r="J39">
        <v>1.6360969999999999</v>
      </c>
      <c r="K39">
        <v>2.6142889999999999</v>
      </c>
      <c r="L39">
        <v>2.1108210000000001</v>
      </c>
      <c r="M39">
        <v>1.8681300000000001</v>
      </c>
      <c r="N39">
        <v>1.5435559999999999</v>
      </c>
      <c r="O39">
        <v>1.9665440000000001</v>
      </c>
      <c r="P39">
        <v>3.0876169999999998</v>
      </c>
      <c r="Q39">
        <v>3.087809</v>
      </c>
      <c r="R39">
        <v>3.036537</v>
      </c>
      <c r="S39">
        <v>3.070462</v>
      </c>
      <c r="T39">
        <v>3.3036780000000001</v>
      </c>
      <c r="U39">
        <v>2.822387</v>
      </c>
      <c r="V39">
        <v>1.7075739999999999</v>
      </c>
      <c r="W39">
        <v>1.924139</v>
      </c>
      <c r="X39">
        <v>1.5651740000000001</v>
      </c>
      <c r="Y39">
        <v>1.9973780000000001</v>
      </c>
      <c r="Z39">
        <v>1.949875</v>
      </c>
      <c r="AA39">
        <v>1.783911</v>
      </c>
      <c r="AB39" t="str">
        <f>_xlfn.XLOOKUP($A39, DEG!$B:$B, DEG!$E:$E, "not sig")</f>
        <v>not sig</v>
      </c>
      <c r="AC39" t="str">
        <f>IFERROR(VALUE(_xlfn.XLOOKUP($A39, DEG!$B:$B, DEG!$D:$D)), "")</f>
        <v/>
      </c>
    </row>
    <row r="40" spans="1:29" hidden="1" x14ac:dyDescent="0.3">
      <c r="A40" t="s">
        <v>105</v>
      </c>
      <c r="B40" t="s">
        <v>106</v>
      </c>
      <c r="C40" t="s">
        <v>34</v>
      </c>
      <c r="D40">
        <v>6.7842320000000003</v>
      </c>
      <c r="E40">
        <v>7.1880980000000001</v>
      </c>
      <c r="F40">
        <v>6.7990060000000003</v>
      </c>
      <c r="G40">
        <v>7.7191619999999999</v>
      </c>
      <c r="H40">
        <v>7.5366939999999998</v>
      </c>
      <c r="I40">
        <v>7.2239890000000004</v>
      </c>
      <c r="J40">
        <v>6.9903899999999997</v>
      </c>
      <c r="K40">
        <v>6.7629070000000002</v>
      </c>
      <c r="L40">
        <v>6.875826</v>
      </c>
      <c r="M40">
        <v>6.79521</v>
      </c>
      <c r="N40">
        <v>7.0248480000000004</v>
      </c>
      <c r="O40">
        <v>6.4843070000000003</v>
      </c>
      <c r="P40">
        <v>7.6169339999999996</v>
      </c>
      <c r="Q40">
        <v>6.978027</v>
      </c>
      <c r="R40">
        <v>7.9072610000000001</v>
      </c>
      <c r="S40">
        <v>7.7518209999999996</v>
      </c>
      <c r="T40">
        <v>7.8326849999999997</v>
      </c>
      <c r="U40">
        <v>7.4725999999999999</v>
      </c>
      <c r="V40">
        <v>7.0091640000000002</v>
      </c>
      <c r="W40">
        <v>7.6526630000000004</v>
      </c>
      <c r="X40">
        <v>7.5363009999999999</v>
      </c>
      <c r="Y40">
        <v>7.4386140000000003</v>
      </c>
      <c r="Z40">
        <v>7.8457689999999998</v>
      </c>
      <c r="AA40">
        <v>8.0344040000000003</v>
      </c>
      <c r="AB40" t="str">
        <f>_xlfn.XLOOKUP($A40, DEG!$B:$B, DEG!$E:$E, "not sig")</f>
        <v>not sig</v>
      </c>
      <c r="AC40" t="str">
        <f>IFERROR(VALUE(_xlfn.XLOOKUP($A40, DEG!$B:$B, DEG!$D:$D)), "")</f>
        <v/>
      </c>
    </row>
    <row r="41" spans="1:29" x14ac:dyDescent="0.3">
      <c r="A41" t="s">
        <v>107</v>
      </c>
      <c r="B41" t="s">
        <v>108</v>
      </c>
      <c r="C41" t="s">
        <v>28</v>
      </c>
      <c r="D41">
        <v>5.8003960000000001</v>
      </c>
      <c r="E41">
        <v>5.6407299999999996</v>
      </c>
      <c r="F41">
        <v>6.0703839999999998</v>
      </c>
      <c r="G41">
        <v>6.8699300000000001</v>
      </c>
      <c r="H41">
        <v>6.7011310000000002</v>
      </c>
      <c r="I41">
        <v>6.7141019999999996</v>
      </c>
      <c r="J41">
        <v>7.7360309999999997</v>
      </c>
      <c r="K41">
        <v>8.0066170000000003</v>
      </c>
      <c r="L41">
        <v>7.8237449999999997</v>
      </c>
      <c r="M41">
        <v>7.8087059999999999</v>
      </c>
      <c r="N41">
        <v>7.1137819999999996</v>
      </c>
      <c r="O41">
        <v>7.3903160000000003</v>
      </c>
      <c r="P41">
        <v>8.0564260000000001</v>
      </c>
      <c r="Q41">
        <v>7.3411499999999998</v>
      </c>
      <c r="R41">
        <v>8.1140939999999997</v>
      </c>
      <c r="S41">
        <v>7.5728340000000003</v>
      </c>
      <c r="T41">
        <v>7.6915009999999997</v>
      </c>
      <c r="U41">
        <v>7.8403520000000002</v>
      </c>
      <c r="V41">
        <v>8.0303970000000007</v>
      </c>
      <c r="W41">
        <v>8.5593710000000005</v>
      </c>
      <c r="X41">
        <v>8.707827</v>
      </c>
      <c r="Y41">
        <v>8.9958159999999996</v>
      </c>
      <c r="Z41">
        <v>9.4151939999999996</v>
      </c>
      <c r="AA41">
        <v>9.4453250000000004</v>
      </c>
      <c r="AB41">
        <f>_xlfn.XLOOKUP($A41, DEG!$B:$B, DEG!$E:$E, "not sig")</f>
        <v>1.7670505900860599E-3</v>
      </c>
      <c r="AC41">
        <f>IFERROR(VALUE(_xlfn.XLOOKUP($A41, DEG!$B:$B, DEG!$D:$D)), "")</f>
        <v>1.3412014166666699</v>
      </c>
    </row>
    <row r="42" spans="1:29" x14ac:dyDescent="0.3">
      <c r="A42" t="s">
        <v>109</v>
      </c>
      <c r="B42" t="s">
        <v>110</v>
      </c>
      <c r="C42" t="s">
        <v>28</v>
      </c>
      <c r="D42">
        <v>5.4743830000000004</v>
      </c>
      <c r="E42">
        <v>5.8007559999999998</v>
      </c>
      <c r="F42">
        <v>5.0472289999999997</v>
      </c>
      <c r="G42">
        <v>5.8028000000000004</v>
      </c>
      <c r="H42">
        <v>6.6871530000000003</v>
      </c>
      <c r="I42">
        <v>6.3667040000000004</v>
      </c>
      <c r="J42">
        <v>4.4921350000000002</v>
      </c>
      <c r="K42">
        <v>5.1813039999999999</v>
      </c>
      <c r="L42">
        <v>5.3912680000000002</v>
      </c>
      <c r="M42">
        <v>5.3552280000000003</v>
      </c>
      <c r="N42">
        <v>5.1252250000000004</v>
      </c>
      <c r="O42">
        <v>5.990386</v>
      </c>
      <c r="P42">
        <v>5.9399230000000003</v>
      </c>
      <c r="Q42">
        <v>6.3220489999999998</v>
      </c>
      <c r="R42">
        <v>6.6425299999999998</v>
      </c>
      <c r="S42">
        <v>7.7923650000000002</v>
      </c>
      <c r="T42">
        <v>8.1486040000000006</v>
      </c>
      <c r="U42">
        <v>7.9396719999999998</v>
      </c>
      <c r="V42">
        <v>7.4783629999999999</v>
      </c>
      <c r="W42">
        <v>6.946161</v>
      </c>
      <c r="X42">
        <v>6.5681450000000003</v>
      </c>
      <c r="Y42">
        <v>6.6743240000000004</v>
      </c>
      <c r="Z42">
        <v>6.567869</v>
      </c>
      <c r="AA42">
        <v>6.6279459999999997</v>
      </c>
      <c r="AB42">
        <f>_xlfn.XLOOKUP($A42, DEG!$B:$B, DEG!$E:$E, "not sig")</f>
        <v>2.28059849219856E-4</v>
      </c>
      <c r="AC42">
        <f>IFERROR(VALUE(_xlfn.XLOOKUP($A42, DEG!$B:$B, DEG!$D:$D)), "")</f>
        <v>1.4111149999999999</v>
      </c>
    </row>
    <row r="43" spans="1:29" hidden="1" x14ac:dyDescent="0.3">
      <c r="A43" t="s">
        <v>111</v>
      </c>
      <c r="B43" t="s">
        <v>112</v>
      </c>
      <c r="C43" t="s">
        <v>34</v>
      </c>
      <c r="D43">
        <v>4.8213470000000003</v>
      </c>
      <c r="E43">
        <v>4.725606</v>
      </c>
      <c r="F43">
        <v>4.4125800000000002</v>
      </c>
      <c r="G43">
        <v>5.7019130000000002</v>
      </c>
      <c r="H43">
        <v>5.58392</v>
      </c>
      <c r="I43">
        <v>6.154325</v>
      </c>
      <c r="J43">
        <v>4.8388520000000002</v>
      </c>
      <c r="K43">
        <v>5.046265</v>
      </c>
      <c r="L43">
        <v>3.7538260000000001</v>
      </c>
      <c r="M43">
        <v>4.4282060000000003</v>
      </c>
      <c r="N43">
        <v>3.6736249999999999</v>
      </c>
      <c r="O43">
        <v>4.1329409999999998</v>
      </c>
      <c r="P43">
        <v>3.8627120000000001</v>
      </c>
      <c r="Q43">
        <v>4.142512</v>
      </c>
      <c r="R43">
        <v>5.3039909999999999</v>
      </c>
      <c r="S43">
        <v>6.2562540000000002</v>
      </c>
      <c r="T43">
        <v>5.7126950000000001</v>
      </c>
      <c r="U43">
        <v>6.0223230000000001</v>
      </c>
      <c r="V43">
        <v>5.5294650000000001</v>
      </c>
      <c r="W43">
        <v>5.0675319999999999</v>
      </c>
      <c r="X43">
        <v>5.00406</v>
      </c>
      <c r="Y43">
        <v>5.4581619999999997</v>
      </c>
      <c r="Z43">
        <v>5.6317320000000004</v>
      </c>
      <c r="AA43">
        <v>4.3017609999999999</v>
      </c>
      <c r="AB43" t="str">
        <f>_xlfn.XLOOKUP($A43, DEG!$B:$B, DEG!$E:$E, "not sig")</f>
        <v>not sig</v>
      </c>
      <c r="AC43" t="str">
        <f>IFERROR(VALUE(_xlfn.XLOOKUP($A43, DEG!$B:$B, DEG!$D:$D)), "")</f>
        <v/>
      </c>
    </row>
    <row r="44" spans="1:29" hidden="1" x14ac:dyDescent="0.3">
      <c r="A44" t="s">
        <v>113</v>
      </c>
      <c r="B44" t="s">
        <v>114</v>
      </c>
      <c r="C44" t="s">
        <v>34</v>
      </c>
      <c r="D44">
        <v>7.3999079999999999</v>
      </c>
      <c r="E44">
        <v>7.9173710000000002</v>
      </c>
      <c r="F44">
        <v>7.7258129999999996</v>
      </c>
      <c r="G44">
        <v>8.1952929999999995</v>
      </c>
      <c r="H44">
        <v>8.0809759999999997</v>
      </c>
      <c r="I44">
        <v>7.7742969999999998</v>
      </c>
      <c r="J44">
        <v>6.7940560000000003</v>
      </c>
      <c r="K44">
        <v>6.7115070000000001</v>
      </c>
      <c r="L44">
        <v>6.7371800000000004</v>
      </c>
      <c r="M44">
        <v>7.0482550000000002</v>
      </c>
      <c r="N44">
        <v>7.0728340000000003</v>
      </c>
      <c r="O44">
        <v>6.9711869999999996</v>
      </c>
      <c r="P44">
        <v>7.9308329999999998</v>
      </c>
      <c r="Q44">
        <v>7.031784</v>
      </c>
      <c r="R44">
        <v>7.8998790000000003</v>
      </c>
      <c r="S44">
        <v>8.5748610000000003</v>
      </c>
      <c r="T44">
        <v>9.0940659999999998</v>
      </c>
      <c r="U44">
        <v>8.5237610000000004</v>
      </c>
      <c r="V44">
        <v>8.3867209999999996</v>
      </c>
      <c r="W44">
        <v>7.9593590000000001</v>
      </c>
      <c r="X44">
        <v>7.7314629999999998</v>
      </c>
      <c r="Y44">
        <v>7.7378840000000002</v>
      </c>
      <c r="Z44">
        <v>7.7041760000000004</v>
      </c>
      <c r="AA44">
        <v>7.5644039999999997</v>
      </c>
      <c r="AB44" t="str">
        <f>_xlfn.XLOOKUP($A44, DEG!$B:$B, DEG!$E:$E, "not sig")</f>
        <v>not sig</v>
      </c>
      <c r="AC44" t="str">
        <f>IFERROR(VALUE(_xlfn.XLOOKUP($A44, DEG!$B:$B, DEG!$D:$D)), "")</f>
        <v/>
      </c>
    </row>
    <row r="45" spans="1:29" hidden="1" x14ac:dyDescent="0.3">
      <c r="A45" t="s">
        <v>115</v>
      </c>
      <c r="B45" t="s">
        <v>116</v>
      </c>
      <c r="C45" t="s">
        <v>34</v>
      </c>
      <c r="D45">
        <v>3.0896309999999998</v>
      </c>
      <c r="E45">
        <v>4.0415770000000002</v>
      </c>
      <c r="F45">
        <v>3.5922109999999998</v>
      </c>
      <c r="G45">
        <v>3.549744</v>
      </c>
      <c r="H45">
        <v>4.7067779999999999</v>
      </c>
      <c r="I45">
        <v>3.8933019999999998</v>
      </c>
      <c r="J45">
        <v>3.0408279999999999</v>
      </c>
      <c r="K45">
        <v>2.6130990000000001</v>
      </c>
      <c r="L45">
        <v>2.6589149999999999</v>
      </c>
      <c r="M45">
        <v>2.8084630000000002</v>
      </c>
      <c r="N45">
        <v>2.1882109999999999</v>
      </c>
      <c r="O45">
        <v>3.3598189999999999</v>
      </c>
      <c r="P45">
        <v>4.3894900000000003</v>
      </c>
      <c r="Q45">
        <v>4.0855870000000003</v>
      </c>
      <c r="R45">
        <v>4.0076609999999997</v>
      </c>
      <c r="S45">
        <v>3.5193819999999998</v>
      </c>
      <c r="T45">
        <v>4.2381599999999997</v>
      </c>
      <c r="U45">
        <v>4.3736579999999998</v>
      </c>
      <c r="V45">
        <v>3.0910199999999999</v>
      </c>
      <c r="W45">
        <v>2.519701</v>
      </c>
      <c r="X45">
        <v>2.8946900000000002</v>
      </c>
      <c r="Y45">
        <v>2.2040160000000002</v>
      </c>
      <c r="Z45">
        <v>3.0030000000000001</v>
      </c>
      <c r="AA45">
        <v>3.4494980000000002</v>
      </c>
      <c r="AB45" t="str">
        <f>_xlfn.XLOOKUP($A45, DEG!$B:$B, DEG!$E:$E, "not sig")</f>
        <v>not sig</v>
      </c>
      <c r="AC45" t="str">
        <f>IFERROR(VALUE(_xlfn.XLOOKUP($A45, DEG!$B:$B, DEG!$D:$D)), "")</f>
        <v/>
      </c>
    </row>
    <row r="46" spans="1:29" hidden="1" x14ac:dyDescent="0.3">
      <c r="A46" t="s">
        <v>117</v>
      </c>
      <c r="B46" t="s">
        <v>118</v>
      </c>
      <c r="C46" t="s">
        <v>34</v>
      </c>
      <c r="D46">
        <v>2.6413129999999998</v>
      </c>
      <c r="E46">
        <v>2.6023710000000002</v>
      </c>
      <c r="F46">
        <v>2.9706570000000001</v>
      </c>
      <c r="G46">
        <v>3.9824139999999999</v>
      </c>
      <c r="H46">
        <v>3.5498609999999999</v>
      </c>
      <c r="I46">
        <v>2.9604590000000002</v>
      </c>
      <c r="J46">
        <v>1.793463</v>
      </c>
      <c r="K46">
        <v>2.4571190000000001</v>
      </c>
      <c r="L46">
        <v>2.6858029999999999</v>
      </c>
      <c r="M46">
        <v>2.4373040000000001</v>
      </c>
      <c r="N46">
        <v>1.871572</v>
      </c>
      <c r="O46">
        <v>2.3767870000000002</v>
      </c>
      <c r="P46">
        <v>3.222121</v>
      </c>
      <c r="Q46">
        <v>2.6639629999999999</v>
      </c>
      <c r="R46">
        <v>3.368986</v>
      </c>
      <c r="S46">
        <v>4.2988559999999998</v>
      </c>
      <c r="T46">
        <v>4.1220920000000003</v>
      </c>
      <c r="U46">
        <v>3.2781380000000002</v>
      </c>
      <c r="V46">
        <v>2.5165470000000001</v>
      </c>
      <c r="W46">
        <v>3.496775</v>
      </c>
      <c r="X46">
        <v>3.0500409999999998</v>
      </c>
      <c r="Y46">
        <v>2.93702</v>
      </c>
      <c r="Z46">
        <v>4.0093430000000003</v>
      </c>
      <c r="AA46">
        <v>2.6379920000000001</v>
      </c>
      <c r="AB46" t="str">
        <f>_xlfn.XLOOKUP($A46, DEG!$B:$B, DEG!$E:$E, "not sig")</f>
        <v>not sig</v>
      </c>
      <c r="AC46" t="str">
        <f>IFERROR(VALUE(_xlfn.XLOOKUP($A46, DEG!$B:$B, DEG!$D:$D)), "")</f>
        <v/>
      </c>
    </row>
    <row r="47" spans="1:29" x14ac:dyDescent="0.3">
      <c r="A47" t="s">
        <v>119</v>
      </c>
      <c r="B47" t="s">
        <v>120</v>
      </c>
      <c r="C47" t="s">
        <v>28</v>
      </c>
      <c r="D47">
        <v>4.1777410000000001</v>
      </c>
      <c r="E47">
        <v>4.3937850000000003</v>
      </c>
      <c r="F47">
        <v>5.4663279999999999</v>
      </c>
      <c r="G47">
        <v>6.202928</v>
      </c>
      <c r="H47">
        <v>6.8327249999999999</v>
      </c>
      <c r="I47">
        <v>5.2609389999999996</v>
      </c>
      <c r="J47">
        <v>2.8129019999999998</v>
      </c>
      <c r="K47">
        <v>4.5419169999999998</v>
      </c>
      <c r="L47">
        <v>5.016375</v>
      </c>
      <c r="M47">
        <v>4.8168519999999999</v>
      </c>
      <c r="N47">
        <v>4.3957560000000004</v>
      </c>
      <c r="O47">
        <v>4.8188820000000003</v>
      </c>
      <c r="P47">
        <v>5.7310189999999999</v>
      </c>
      <c r="Q47">
        <v>5.6752380000000002</v>
      </c>
      <c r="R47">
        <v>6.6804600000000001</v>
      </c>
      <c r="S47">
        <v>8.4238959999999992</v>
      </c>
      <c r="T47">
        <v>8.5012589999999992</v>
      </c>
      <c r="U47">
        <v>8.2821540000000002</v>
      </c>
      <c r="V47">
        <v>7.1624949999999998</v>
      </c>
      <c r="W47">
        <v>7.1366620000000003</v>
      </c>
      <c r="X47">
        <v>7.0039730000000002</v>
      </c>
      <c r="Y47">
        <v>6.95296</v>
      </c>
      <c r="Z47">
        <v>6.7648630000000001</v>
      </c>
      <c r="AA47">
        <v>6.1592419999999999</v>
      </c>
      <c r="AB47">
        <f>_xlfn.XLOOKUP($A47, DEG!$B:$B, DEG!$E:$E, "not sig")</f>
        <v>1.3552651990125401E-4</v>
      </c>
      <c r="AC47">
        <f>IFERROR(VALUE(_xlfn.XLOOKUP($A47, DEG!$B:$B, DEG!$D:$D)), "")</f>
        <v>2.1447575833333299</v>
      </c>
    </row>
    <row r="48" spans="1:29" x14ac:dyDescent="0.3">
      <c r="A48" t="s">
        <v>121</v>
      </c>
      <c r="B48" t="s">
        <v>122</v>
      </c>
      <c r="C48" t="s">
        <v>28</v>
      </c>
      <c r="D48">
        <v>3.679001</v>
      </c>
      <c r="E48">
        <v>3.5571199999999998</v>
      </c>
      <c r="F48">
        <v>3.4519030000000002</v>
      </c>
      <c r="G48">
        <v>4.6367120000000002</v>
      </c>
      <c r="H48">
        <v>5.2343099999999998</v>
      </c>
      <c r="I48">
        <v>3.8371019999999998</v>
      </c>
      <c r="J48">
        <v>3.0783209999999999</v>
      </c>
      <c r="K48">
        <v>2.8193700000000002</v>
      </c>
      <c r="L48">
        <v>4.09605</v>
      </c>
      <c r="M48">
        <v>3.6292979999999999</v>
      </c>
      <c r="N48">
        <v>3.1964190000000001</v>
      </c>
      <c r="O48">
        <v>4.3627279999999997</v>
      </c>
      <c r="P48">
        <v>9.9246400000000001</v>
      </c>
      <c r="Q48">
        <v>9.8090119999999992</v>
      </c>
      <c r="R48">
        <v>10.83386</v>
      </c>
      <c r="S48">
        <v>10.82006</v>
      </c>
      <c r="T48">
        <v>11.844329999999999</v>
      </c>
      <c r="U48">
        <v>10.75323</v>
      </c>
      <c r="V48">
        <v>10.83389</v>
      </c>
      <c r="W48">
        <v>10.36143</v>
      </c>
      <c r="X48">
        <v>10.12786</v>
      </c>
      <c r="Y48">
        <v>10.4747</v>
      </c>
      <c r="Z48">
        <v>10.51674</v>
      </c>
      <c r="AA48">
        <v>11.01507</v>
      </c>
      <c r="AB48" t="str">
        <f>_xlfn.XLOOKUP($A48, DEG!$B:$B, DEG!$E:$E, "not sig")</f>
        <v>5.67575092788759e-17</v>
      </c>
      <c r="AC48">
        <f>IFERROR(VALUE(_xlfn.XLOOKUP($A48, DEG!$B:$B, DEG!$D:$D)), "")</f>
        <v>6.8113739999999998</v>
      </c>
    </row>
    <row r="49" spans="1:29" x14ac:dyDescent="0.3">
      <c r="A49" t="s">
        <v>123</v>
      </c>
      <c r="B49" t="s">
        <v>124</v>
      </c>
      <c r="C49" t="s">
        <v>28</v>
      </c>
      <c r="D49">
        <v>5.8389949999999997</v>
      </c>
      <c r="E49">
        <v>5.4881770000000003</v>
      </c>
      <c r="F49">
        <v>5.9263599999999999</v>
      </c>
      <c r="G49">
        <v>7.5012800000000004</v>
      </c>
      <c r="H49">
        <v>7.5801220000000002</v>
      </c>
      <c r="I49">
        <v>6.8024009999999997</v>
      </c>
      <c r="J49">
        <v>4.8826080000000003</v>
      </c>
      <c r="K49">
        <v>3.7757489999999998</v>
      </c>
      <c r="L49">
        <v>5.5250779999999997</v>
      </c>
      <c r="M49">
        <v>6.231719</v>
      </c>
      <c r="N49">
        <v>5.5722149999999999</v>
      </c>
      <c r="O49">
        <v>6.622128</v>
      </c>
      <c r="P49">
        <v>10.073270000000001</v>
      </c>
      <c r="Q49">
        <v>9.554214</v>
      </c>
      <c r="R49">
        <v>9.7465150000000005</v>
      </c>
      <c r="S49">
        <v>13.28443</v>
      </c>
      <c r="T49">
        <v>13.03633</v>
      </c>
      <c r="U49">
        <v>13.12473</v>
      </c>
      <c r="V49">
        <v>13.17259</v>
      </c>
      <c r="W49">
        <v>12.91461</v>
      </c>
      <c r="X49">
        <v>12.694520000000001</v>
      </c>
      <c r="Y49">
        <v>12.65202</v>
      </c>
      <c r="Z49">
        <v>12.46869</v>
      </c>
      <c r="AA49">
        <v>10.95783</v>
      </c>
      <c r="AB49" t="str">
        <f>_xlfn.XLOOKUP($A49, DEG!$B:$B, DEG!$E:$E, "not sig")</f>
        <v>2.42709114783387e-10</v>
      </c>
      <c r="AC49">
        <f>IFERROR(VALUE(_xlfn.XLOOKUP($A49, DEG!$B:$B, DEG!$D:$D)), "")</f>
        <v>5.99440975</v>
      </c>
    </row>
    <row r="50" spans="1:29" x14ac:dyDescent="0.3">
      <c r="A50" t="s">
        <v>125</v>
      </c>
      <c r="B50" t="s">
        <v>126</v>
      </c>
      <c r="C50" t="s">
        <v>28</v>
      </c>
      <c r="D50">
        <v>7.2190180000000002</v>
      </c>
      <c r="E50">
        <v>7.9440470000000003</v>
      </c>
      <c r="F50">
        <v>7.6355529999999998</v>
      </c>
      <c r="G50">
        <v>8.7700440000000004</v>
      </c>
      <c r="H50">
        <v>8.3968640000000008</v>
      </c>
      <c r="I50">
        <v>7.9313650000000004</v>
      </c>
      <c r="J50">
        <v>6.0923780000000001</v>
      </c>
      <c r="K50">
        <v>6.9225060000000003</v>
      </c>
      <c r="L50">
        <v>6.3856330000000003</v>
      </c>
      <c r="M50">
        <v>6.3011670000000004</v>
      </c>
      <c r="N50">
        <v>6.3383060000000002</v>
      </c>
      <c r="O50">
        <v>6.5769710000000003</v>
      </c>
      <c r="P50">
        <v>7.9186680000000003</v>
      </c>
      <c r="Q50">
        <v>8.9169389999999993</v>
      </c>
      <c r="R50">
        <v>10.804449999999999</v>
      </c>
      <c r="S50">
        <v>11.19346</v>
      </c>
      <c r="T50">
        <v>11.649150000000001</v>
      </c>
      <c r="U50">
        <v>11.34657</v>
      </c>
      <c r="V50">
        <v>10.648289999999999</v>
      </c>
      <c r="W50">
        <v>10.33684</v>
      </c>
      <c r="X50">
        <v>10.220560000000001</v>
      </c>
      <c r="Y50">
        <v>10.216710000000001</v>
      </c>
      <c r="Z50">
        <v>10.14418</v>
      </c>
      <c r="AA50">
        <v>10.01796</v>
      </c>
      <c r="AB50" t="str">
        <f>_xlfn.XLOOKUP($A50, DEG!$B:$B, DEG!$E:$E, "not sig")</f>
        <v>5.19095252167049e-07</v>
      </c>
      <c r="AC50">
        <f>IFERROR(VALUE(_xlfn.XLOOKUP($A50, DEG!$B:$B, DEG!$D:$D)), "")</f>
        <v>3.07499375</v>
      </c>
    </row>
    <row r="51" spans="1:29" x14ac:dyDescent="0.3">
      <c r="A51" t="s">
        <v>127</v>
      </c>
      <c r="B51" t="s">
        <v>128</v>
      </c>
      <c r="C51" t="s">
        <v>28</v>
      </c>
      <c r="D51">
        <v>6.7137450000000003</v>
      </c>
      <c r="E51">
        <v>6.8898409999999997</v>
      </c>
      <c r="F51">
        <v>7.3674799999999996</v>
      </c>
      <c r="G51">
        <v>8.5102010000000003</v>
      </c>
      <c r="H51">
        <v>8.3290410000000001</v>
      </c>
      <c r="I51">
        <v>8.0528490000000001</v>
      </c>
      <c r="J51">
        <v>6.515803</v>
      </c>
      <c r="K51">
        <v>6.9059869999999997</v>
      </c>
      <c r="L51">
        <v>6.4111929999999999</v>
      </c>
      <c r="M51">
        <v>5.8392330000000001</v>
      </c>
      <c r="N51">
        <v>5.7166860000000002</v>
      </c>
      <c r="O51">
        <v>6.1579540000000001</v>
      </c>
      <c r="P51">
        <v>12.273389999999999</v>
      </c>
      <c r="Q51">
        <v>10.282769999999999</v>
      </c>
      <c r="R51">
        <v>13.17854</v>
      </c>
      <c r="S51">
        <v>12.52148</v>
      </c>
      <c r="T51">
        <v>13.31808</v>
      </c>
      <c r="U51">
        <v>12.76634</v>
      </c>
      <c r="V51">
        <v>11.60905</v>
      </c>
      <c r="W51">
        <v>12.01849</v>
      </c>
      <c r="X51">
        <v>12.064920000000001</v>
      </c>
      <c r="Y51">
        <v>12.37312</v>
      </c>
      <c r="Z51">
        <v>12.551130000000001</v>
      </c>
      <c r="AA51">
        <v>12.595409999999999</v>
      </c>
      <c r="AB51" t="str">
        <f>_xlfn.XLOOKUP($A51, DEG!$B:$B, DEG!$E:$E, "not sig")</f>
        <v>1.8490216310499e-12</v>
      </c>
      <c r="AC51">
        <f>IFERROR(VALUE(_xlfn.XLOOKUP($A51, DEG!$B:$B, DEG!$D:$D)), "")</f>
        <v>5.34522558333334</v>
      </c>
    </row>
    <row r="52" spans="1:29" x14ac:dyDescent="0.3">
      <c r="A52" t="s">
        <v>129</v>
      </c>
      <c r="B52" t="s">
        <v>130</v>
      </c>
      <c r="C52" t="s">
        <v>28</v>
      </c>
      <c r="D52">
        <v>3.9659740000000001</v>
      </c>
      <c r="E52">
        <v>3.8643000000000001</v>
      </c>
      <c r="F52">
        <v>3.8013430000000001</v>
      </c>
      <c r="G52">
        <v>5.7361230000000001</v>
      </c>
      <c r="H52">
        <v>5.6950529999999997</v>
      </c>
      <c r="I52">
        <v>4.715109</v>
      </c>
      <c r="J52">
        <v>3.7564649999999999</v>
      </c>
      <c r="K52">
        <v>3.4235989999999998</v>
      </c>
      <c r="L52">
        <v>3.9009269999999998</v>
      </c>
      <c r="M52">
        <v>2.6325440000000002</v>
      </c>
      <c r="N52">
        <v>4.0684839999999998</v>
      </c>
      <c r="O52">
        <v>2.7177699999999998</v>
      </c>
      <c r="P52">
        <v>10.724729999999999</v>
      </c>
      <c r="Q52">
        <v>7.6891860000000003</v>
      </c>
      <c r="R52">
        <v>11.31157</v>
      </c>
      <c r="S52">
        <v>10.048959999999999</v>
      </c>
      <c r="T52">
        <v>11.43754</v>
      </c>
      <c r="U52">
        <v>10.537699999999999</v>
      </c>
      <c r="V52">
        <v>9.3159209999999995</v>
      </c>
      <c r="W52">
        <v>9.8278429999999997</v>
      </c>
      <c r="X52">
        <v>9.8258259999999993</v>
      </c>
      <c r="Y52">
        <v>10.85627</v>
      </c>
      <c r="Z52">
        <v>10.938459999999999</v>
      </c>
      <c r="AA52">
        <v>11.058960000000001</v>
      </c>
      <c r="AB52" t="str">
        <f>_xlfn.XLOOKUP($A52, DEG!$B:$B, DEG!$E:$E, "not sig")</f>
        <v>1.32865609788276e-12</v>
      </c>
      <c r="AC52">
        <f>IFERROR(VALUE(_xlfn.XLOOKUP($A52, DEG!$B:$B, DEG!$D:$D)), "")</f>
        <v>6.2746062499999997</v>
      </c>
    </row>
    <row r="53" spans="1:29" hidden="1" x14ac:dyDescent="0.3">
      <c r="A53" t="s">
        <v>131</v>
      </c>
      <c r="B53" t="s">
        <v>132</v>
      </c>
      <c r="C53" t="s">
        <v>34</v>
      </c>
      <c r="D53">
        <v>3.8049300000000001</v>
      </c>
      <c r="E53">
        <v>3.694118</v>
      </c>
      <c r="F53">
        <v>3.2979400000000001</v>
      </c>
      <c r="G53">
        <v>3.3082799999999999</v>
      </c>
      <c r="H53">
        <v>3.7257600000000002</v>
      </c>
      <c r="I53">
        <v>3.8366889999999998</v>
      </c>
      <c r="J53">
        <v>1.834349</v>
      </c>
      <c r="K53">
        <v>2.4137940000000002</v>
      </c>
      <c r="L53">
        <v>2.2576679999999998</v>
      </c>
      <c r="M53">
        <v>2.0796960000000002</v>
      </c>
      <c r="N53">
        <v>2.3444060000000002</v>
      </c>
      <c r="O53">
        <v>2.33473</v>
      </c>
      <c r="P53">
        <v>2.9071159999999998</v>
      </c>
      <c r="Q53">
        <v>3.0935049999999999</v>
      </c>
      <c r="R53">
        <v>3.1080390000000002</v>
      </c>
      <c r="S53">
        <v>3.729765</v>
      </c>
      <c r="T53">
        <v>3.7681619999999998</v>
      </c>
      <c r="U53">
        <v>3.4861409999999999</v>
      </c>
      <c r="V53">
        <v>2.0766900000000001</v>
      </c>
      <c r="W53">
        <v>2.0695320000000001</v>
      </c>
      <c r="X53">
        <v>2.3117559999999999</v>
      </c>
      <c r="Y53">
        <v>2.2400899999999999</v>
      </c>
      <c r="Z53">
        <v>2.8378570000000001</v>
      </c>
      <c r="AA53">
        <v>2.2045360000000001</v>
      </c>
      <c r="AB53" t="str">
        <f>_xlfn.XLOOKUP($A53, DEG!$B:$B, DEG!$E:$E, "not sig")</f>
        <v>not sig</v>
      </c>
      <c r="AC53" t="str">
        <f>IFERROR(VALUE(_xlfn.XLOOKUP($A53, DEG!$B:$B, DEG!$D:$D)), "")</f>
        <v/>
      </c>
    </row>
    <row r="54" spans="1:29" hidden="1" x14ac:dyDescent="0.3">
      <c r="A54" t="s">
        <v>133</v>
      </c>
      <c r="B54" t="s">
        <v>134</v>
      </c>
      <c r="C54" t="s">
        <v>34</v>
      </c>
      <c r="D54">
        <v>4.7483320000000004</v>
      </c>
      <c r="E54">
        <v>4.9065519999999996</v>
      </c>
      <c r="F54">
        <v>4.7203660000000003</v>
      </c>
      <c r="G54">
        <v>5.7275429999999998</v>
      </c>
      <c r="H54">
        <v>5.3608099999999999</v>
      </c>
      <c r="I54">
        <v>5.3985079999999996</v>
      </c>
      <c r="J54">
        <v>3.807321</v>
      </c>
      <c r="K54">
        <v>2.3204340000000001</v>
      </c>
      <c r="L54">
        <v>2.666569</v>
      </c>
      <c r="M54">
        <v>3.6400489999999999</v>
      </c>
      <c r="N54">
        <v>4.601623</v>
      </c>
      <c r="O54">
        <v>2.9855990000000001</v>
      </c>
      <c r="P54">
        <v>4.2998050000000001</v>
      </c>
      <c r="Q54">
        <v>3.7876099999999999</v>
      </c>
      <c r="R54">
        <v>3.8783340000000002</v>
      </c>
      <c r="S54">
        <v>4.8376749999999999</v>
      </c>
      <c r="T54">
        <v>5.6059970000000003</v>
      </c>
      <c r="U54">
        <v>4.4946440000000001</v>
      </c>
      <c r="V54">
        <v>3.5683569999999998</v>
      </c>
      <c r="W54">
        <v>3.7006610000000002</v>
      </c>
      <c r="X54">
        <v>3.8525369999999999</v>
      </c>
      <c r="Y54">
        <v>4.6387229999999997</v>
      </c>
      <c r="Z54">
        <v>4.4175449999999996</v>
      </c>
      <c r="AA54">
        <v>4.6852539999999996</v>
      </c>
      <c r="AB54" t="str">
        <f>_xlfn.XLOOKUP($A54, DEG!$B:$B, DEG!$E:$E, "not sig")</f>
        <v>not sig</v>
      </c>
      <c r="AC54" t="str">
        <f>IFERROR(VALUE(_xlfn.XLOOKUP($A54, DEG!$B:$B, DEG!$D:$D)), "")</f>
        <v/>
      </c>
    </row>
    <row r="55" spans="1:29" hidden="1" x14ac:dyDescent="0.3">
      <c r="A55" t="s">
        <v>135</v>
      </c>
      <c r="B55" t="s">
        <v>136</v>
      </c>
      <c r="C55" t="s">
        <v>34</v>
      </c>
      <c r="D55">
        <v>4.8338580000000002</v>
      </c>
      <c r="E55">
        <v>5.5016749999999996</v>
      </c>
      <c r="F55">
        <v>5.4325349999999997</v>
      </c>
      <c r="G55">
        <v>4.3777270000000001</v>
      </c>
      <c r="H55">
        <v>5.2124050000000004</v>
      </c>
      <c r="I55">
        <v>5.21455</v>
      </c>
      <c r="J55">
        <v>4.3672550000000001</v>
      </c>
      <c r="K55">
        <v>3.3342559999999999</v>
      </c>
      <c r="L55">
        <v>3.8301400000000001</v>
      </c>
      <c r="M55">
        <v>3.5247600000000001</v>
      </c>
      <c r="N55">
        <v>3.0980509999999999</v>
      </c>
      <c r="O55">
        <v>4.1079759999999998</v>
      </c>
      <c r="P55">
        <v>5.1694870000000002</v>
      </c>
      <c r="Q55">
        <v>5.0860960000000004</v>
      </c>
      <c r="R55">
        <v>4.442634</v>
      </c>
      <c r="S55">
        <v>4.5744129999999998</v>
      </c>
      <c r="T55">
        <v>5.4095690000000003</v>
      </c>
      <c r="U55">
        <v>5.2220149999999999</v>
      </c>
      <c r="V55">
        <v>3.970942</v>
      </c>
      <c r="W55">
        <v>3.709911</v>
      </c>
      <c r="X55">
        <v>3.7010939999999999</v>
      </c>
      <c r="Y55">
        <v>3.9444940000000002</v>
      </c>
      <c r="Z55">
        <v>3.0801229999999999</v>
      </c>
      <c r="AA55">
        <v>3.2740580000000001</v>
      </c>
      <c r="AB55" t="str">
        <f>_xlfn.XLOOKUP($A55, DEG!$B:$B, DEG!$E:$E, "not sig")</f>
        <v>not sig</v>
      </c>
      <c r="AC55" t="str">
        <f>IFERROR(VALUE(_xlfn.XLOOKUP($A55, DEG!$B:$B, DEG!$D:$D)), "")</f>
        <v/>
      </c>
    </row>
    <row r="56" spans="1:29" x14ac:dyDescent="0.3">
      <c r="A56" t="s">
        <v>137</v>
      </c>
      <c r="B56" t="s">
        <v>138</v>
      </c>
      <c r="C56" t="s">
        <v>28</v>
      </c>
      <c r="D56">
        <v>3.3896639999999998</v>
      </c>
      <c r="E56">
        <v>3.1620560000000002</v>
      </c>
      <c r="F56">
        <v>3.0874450000000002</v>
      </c>
      <c r="G56">
        <v>4.4819209999999998</v>
      </c>
      <c r="H56">
        <v>4.7089230000000004</v>
      </c>
      <c r="I56">
        <v>4.7743190000000002</v>
      </c>
      <c r="J56">
        <v>3.8644980000000002</v>
      </c>
      <c r="K56">
        <v>3.7973910000000002</v>
      </c>
      <c r="L56">
        <v>4.0727900000000004</v>
      </c>
      <c r="M56">
        <v>5.2962980000000002</v>
      </c>
      <c r="N56">
        <v>3.1338720000000002</v>
      </c>
      <c r="O56">
        <v>3.8642820000000002</v>
      </c>
      <c r="P56">
        <v>4.8849049999999998</v>
      </c>
      <c r="Q56">
        <v>5.2089429999999997</v>
      </c>
      <c r="R56">
        <v>6.6771440000000002</v>
      </c>
      <c r="S56">
        <v>6.8989830000000003</v>
      </c>
      <c r="T56">
        <v>6.5873999999999997</v>
      </c>
      <c r="U56">
        <v>7.1687149999999997</v>
      </c>
      <c r="V56">
        <v>5.9311590000000001</v>
      </c>
      <c r="W56">
        <v>5.7700300000000002</v>
      </c>
      <c r="X56">
        <v>6.1755440000000004</v>
      </c>
      <c r="Y56">
        <v>6.0217700000000001</v>
      </c>
      <c r="Z56">
        <v>6.0417620000000003</v>
      </c>
      <c r="AA56">
        <v>5.4451010000000002</v>
      </c>
      <c r="AB56" t="str">
        <f>_xlfn.XLOOKUP($A56, DEG!$B:$B, DEG!$E:$E, "not sig")</f>
        <v>2.16496514610231e-06</v>
      </c>
      <c r="AC56">
        <f>IFERROR(VALUE(_xlfn.XLOOKUP($A56, DEG!$B:$B, DEG!$D:$D)), "")</f>
        <v>2.09816641666667</v>
      </c>
    </row>
    <row r="57" spans="1:29" x14ac:dyDescent="0.3">
      <c r="A57" t="s">
        <v>139</v>
      </c>
      <c r="B57" t="s">
        <v>140</v>
      </c>
      <c r="C57" t="s">
        <v>28</v>
      </c>
      <c r="D57">
        <v>7.6277239999999997</v>
      </c>
      <c r="E57">
        <v>7.6222940000000001</v>
      </c>
      <c r="F57">
        <v>7.6700670000000004</v>
      </c>
      <c r="G57">
        <v>7.7408070000000002</v>
      </c>
      <c r="H57">
        <v>7.4220269999999999</v>
      </c>
      <c r="I57">
        <v>7.752008</v>
      </c>
      <c r="J57">
        <v>6.681165</v>
      </c>
      <c r="K57">
        <v>7.0419539999999996</v>
      </c>
      <c r="L57">
        <v>6.548813</v>
      </c>
      <c r="M57">
        <v>6.7972210000000004</v>
      </c>
      <c r="N57">
        <v>6.9313520000000004</v>
      </c>
      <c r="O57">
        <v>7.1458180000000002</v>
      </c>
      <c r="P57">
        <v>6.8410690000000001</v>
      </c>
      <c r="Q57">
        <v>8.5295079999999999</v>
      </c>
      <c r="R57">
        <v>8.0855949999999996</v>
      </c>
      <c r="S57">
        <v>8.4446919999999999</v>
      </c>
      <c r="T57">
        <v>8.8127420000000001</v>
      </c>
      <c r="U57">
        <v>8.4663170000000001</v>
      </c>
      <c r="V57">
        <v>8.8265630000000002</v>
      </c>
      <c r="W57">
        <v>8.2251320000000003</v>
      </c>
      <c r="X57">
        <v>7.9275719999999996</v>
      </c>
      <c r="Y57">
        <v>8.3971160000000005</v>
      </c>
      <c r="Z57">
        <v>8.1830979999999993</v>
      </c>
      <c r="AA57">
        <v>8.7054240000000007</v>
      </c>
      <c r="AB57">
        <f>_xlfn.XLOOKUP($A57, DEG!$B:$B, DEG!$E:$E, "not sig")</f>
        <v>5.1391863059161596E-4</v>
      </c>
      <c r="AC57">
        <f>IFERROR(VALUE(_xlfn.XLOOKUP($A57, DEG!$B:$B, DEG!$D:$D)), "")</f>
        <v>1.0386314999999999</v>
      </c>
    </row>
    <row r="58" spans="1:29" hidden="1" x14ac:dyDescent="0.3">
      <c r="A58" t="s">
        <v>141</v>
      </c>
      <c r="B58" t="s">
        <v>142</v>
      </c>
      <c r="C58" t="s">
        <v>34</v>
      </c>
      <c r="D58">
        <v>5.063796</v>
      </c>
      <c r="E58">
        <v>4.4470780000000003</v>
      </c>
      <c r="F58">
        <v>3.6773210000000001</v>
      </c>
      <c r="G58">
        <v>4.8777629999999998</v>
      </c>
      <c r="H58">
        <v>4.4777849999999999</v>
      </c>
      <c r="I58">
        <v>4.3692250000000001</v>
      </c>
      <c r="J58">
        <v>2.4572419999999999</v>
      </c>
      <c r="K58">
        <v>2.6570839999999998</v>
      </c>
      <c r="L58">
        <v>3.0327950000000001</v>
      </c>
      <c r="M58">
        <v>2.078363</v>
      </c>
      <c r="N58">
        <v>3.796964</v>
      </c>
      <c r="O58">
        <v>2.2424379999999999</v>
      </c>
      <c r="P58">
        <v>4.4099849999999998</v>
      </c>
      <c r="Q58">
        <v>3.6760030000000001</v>
      </c>
      <c r="R58">
        <v>3.4589479999999999</v>
      </c>
      <c r="S58">
        <v>4.1326219999999996</v>
      </c>
      <c r="T58">
        <v>4.699751</v>
      </c>
      <c r="U58">
        <v>4.5496119999999998</v>
      </c>
      <c r="V58">
        <v>2.686626</v>
      </c>
      <c r="W58">
        <v>3.0810430000000002</v>
      </c>
      <c r="X58">
        <v>2.5804459999999998</v>
      </c>
      <c r="Y58">
        <v>2.5907520000000002</v>
      </c>
      <c r="Z58">
        <v>2.8569200000000001</v>
      </c>
      <c r="AA58">
        <v>2.053722</v>
      </c>
      <c r="AB58" t="str">
        <f>_xlfn.XLOOKUP($A58, DEG!$B:$B, DEG!$E:$E, "not sig")</f>
        <v>not sig</v>
      </c>
      <c r="AC58" t="str">
        <f>IFERROR(VALUE(_xlfn.XLOOKUP($A58, DEG!$B:$B, DEG!$D:$D)), "")</f>
        <v/>
      </c>
    </row>
    <row r="59" spans="1:29" hidden="1" x14ac:dyDescent="0.3">
      <c r="A59" t="s">
        <v>143</v>
      </c>
      <c r="B59" t="s">
        <v>144</v>
      </c>
      <c r="C59" t="s">
        <v>34</v>
      </c>
      <c r="D59">
        <v>2.788729</v>
      </c>
      <c r="E59">
        <v>3.2689819999999998</v>
      </c>
      <c r="F59">
        <v>3.0966070000000001</v>
      </c>
      <c r="G59">
        <v>3.1679979999999999</v>
      </c>
      <c r="H59">
        <v>3.080498</v>
      </c>
      <c r="I59">
        <v>3.2225809999999999</v>
      </c>
      <c r="J59">
        <v>2.631605</v>
      </c>
      <c r="K59">
        <v>2.7358760000000002</v>
      </c>
      <c r="L59">
        <v>1.7421340000000001</v>
      </c>
      <c r="M59">
        <v>2.3056049999999999</v>
      </c>
      <c r="N59">
        <v>2.1854420000000001</v>
      </c>
      <c r="O59">
        <v>1.6040559999999999</v>
      </c>
      <c r="P59">
        <v>3.3139129999999999</v>
      </c>
      <c r="Q59">
        <v>3.4208129999999999</v>
      </c>
      <c r="R59">
        <v>2.8209390000000001</v>
      </c>
      <c r="S59">
        <v>3.315966</v>
      </c>
      <c r="T59">
        <v>2.7324820000000001</v>
      </c>
      <c r="U59">
        <v>3.1751550000000002</v>
      </c>
      <c r="V59">
        <v>1.96584</v>
      </c>
      <c r="W59">
        <v>1.5936319999999999</v>
      </c>
      <c r="X59">
        <v>2.1721029999999999</v>
      </c>
      <c r="Y59">
        <v>2.1156269999999999</v>
      </c>
      <c r="Z59">
        <v>2.4710070000000002</v>
      </c>
      <c r="AA59">
        <v>2.1122800000000002</v>
      </c>
      <c r="AB59" t="str">
        <f>_xlfn.XLOOKUP($A59, DEG!$B:$B, DEG!$E:$E, "not sig")</f>
        <v>not sig</v>
      </c>
      <c r="AC59" t="str">
        <f>IFERROR(VALUE(_xlfn.XLOOKUP($A59, DEG!$B:$B, DEG!$D:$D)), "")</f>
        <v/>
      </c>
    </row>
    <row r="60" spans="1:29" hidden="1" x14ac:dyDescent="0.3">
      <c r="A60" t="s">
        <v>145</v>
      </c>
      <c r="B60" t="s">
        <v>146</v>
      </c>
      <c r="C60" t="s">
        <v>34</v>
      </c>
      <c r="D60">
        <v>4.204669</v>
      </c>
      <c r="E60">
        <v>3.6773899999999999</v>
      </c>
      <c r="F60">
        <v>4.229641</v>
      </c>
      <c r="G60">
        <v>3.3900229999999998</v>
      </c>
      <c r="H60">
        <v>3.024038</v>
      </c>
      <c r="I60">
        <v>3.0961020000000001</v>
      </c>
      <c r="J60">
        <v>2.2813829999999999</v>
      </c>
      <c r="K60">
        <v>2.338775</v>
      </c>
      <c r="L60">
        <v>2.3800490000000001</v>
      </c>
      <c r="M60">
        <v>1.6577580000000001</v>
      </c>
      <c r="N60">
        <v>1.702501</v>
      </c>
      <c r="O60">
        <v>1.7814680000000001</v>
      </c>
      <c r="P60">
        <v>3.5311780000000002</v>
      </c>
      <c r="Q60">
        <v>4.3053990000000004</v>
      </c>
      <c r="R60">
        <v>3.166188</v>
      </c>
      <c r="S60">
        <v>3.4670079999999999</v>
      </c>
      <c r="T60">
        <v>3.8626740000000002</v>
      </c>
      <c r="U60">
        <v>3.6787200000000002</v>
      </c>
      <c r="V60">
        <v>1.874128</v>
      </c>
      <c r="W60">
        <v>2.1212170000000001</v>
      </c>
      <c r="X60">
        <v>2.9180579999999998</v>
      </c>
      <c r="Y60">
        <v>1.95922</v>
      </c>
      <c r="Z60">
        <v>2.1652100000000001</v>
      </c>
      <c r="AA60">
        <v>2.2265259999999998</v>
      </c>
      <c r="AB60" t="str">
        <f>_xlfn.XLOOKUP($A60, DEG!$B:$B, DEG!$E:$E, "not sig")</f>
        <v>not sig</v>
      </c>
      <c r="AC60" t="str">
        <f>IFERROR(VALUE(_xlfn.XLOOKUP($A60, DEG!$B:$B, DEG!$D:$D)), "")</f>
        <v/>
      </c>
    </row>
    <row r="61" spans="1:29" hidden="1" x14ac:dyDescent="0.3">
      <c r="A61" t="s">
        <v>147</v>
      </c>
      <c r="B61" t="s">
        <v>148</v>
      </c>
      <c r="C61" t="s">
        <v>34</v>
      </c>
      <c r="D61">
        <v>3.027698</v>
      </c>
      <c r="E61">
        <v>3.911232</v>
      </c>
      <c r="F61">
        <v>3.5124900000000001</v>
      </c>
      <c r="G61">
        <v>3.4781270000000002</v>
      </c>
      <c r="H61">
        <v>3.9375100000000001</v>
      </c>
      <c r="I61">
        <v>3.8887559999999999</v>
      </c>
      <c r="J61">
        <v>2.4971860000000001</v>
      </c>
      <c r="K61">
        <v>2.7152560000000001</v>
      </c>
      <c r="L61">
        <v>2.4289000000000001</v>
      </c>
      <c r="M61">
        <v>2.3434879999999998</v>
      </c>
      <c r="N61">
        <v>2.4456289999999998</v>
      </c>
      <c r="O61">
        <v>2.7517659999999999</v>
      </c>
      <c r="P61">
        <v>3.339594</v>
      </c>
      <c r="Q61">
        <v>3.515555</v>
      </c>
      <c r="R61">
        <v>3.20275</v>
      </c>
      <c r="S61">
        <v>3.800373</v>
      </c>
      <c r="T61">
        <v>3.9893420000000002</v>
      </c>
      <c r="U61">
        <v>3.3047559999999998</v>
      </c>
      <c r="V61">
        <v>2.13564</v>
      </c>
      <c r="W61">
        <v>2.4721329999999999</v>
      </c>
      <c r="X61">
        <v>2.0023070000000001</v>
      </c>
      <c r="Y61">
        <v>3.0848979999999999</v>
      </c>
      <c r="Z61">
        <v>2.0335139999999998</v>
      </c>
      <c r="AA61">
        <v>2.4450189999999998</v>
      </c>
      <c r="AB61" t="str">
        <f>_xlfn.XLOOKUP($A61, DEG!$B:$B, DEG!$E:$E, "not sig")</f>
        <v>not sig</v>
      </c>
      <c r="AC61" t="str">
        <f>IFERROR(VALUE(_xlfn.XLOOKUP($A61, DEG!$B:$B, DEG!$D:$D)), "")</f>
        <v/>
      </c>
    </row>
    <row r="62" spans="1:29" x14ac:dyDescent="0.3">
      <c r="A62" t="s">
        <v>149</v>
      </c>
      <c r="B62" t="s">
        <v>150</v>
      </c>
      <c r="C62" t="s">
        <v>28</v>
      </c>
      <c r="D62">
        <v>4.9051470000000004</v>
      </c>
      <c r="E62">
        <v>4.0514979999999996</v>
      </c>
      <c r="F62">
        <v>4.6036210000000004</v>
      </c>
      <c r="G62">
        <v>6.2535410000000002</v>
      </c>
      <c r="H62">
        <v>5.772519</v>
      </c>
      <c r="I62">
        <v>6.2152690000000002</v>
      </c>
      <c r="J62">
        <v>4.3547099999999999</v>
      </c>
      <c r="K62">
        <v>5.1587269999999998</v>
      </c>
      <c r="L62">
        <v>4.5972530000000003</v>
      </c>
      <c r="M62">
        <v>3.0706099999999998</v>
      </c>
      <c r="N62">
        <v>5.2326750000000004</v>
      </c>
      <c r="O62">
        <v>4.3951089999999997</v>
      </c>
      <c r="P62">
        <v>7.7217640000000003</v>
      </c>
      <c r="Q62">
        <v>6.567037</v>
      </c>
      <c r="R62">
        <v>7.3168920000000002</v>
      </c>
      <c r="S62">
        <v>6.7134010000000002</v>
      </c>
      <c r="T62">
        <v>7.224926</v>
      </c>
      <c r="U62">
        <v>7.249854</v>
      </c>
      <c r="V62">
        <v>5.341863</v>
      </c>
      <c r="W62">
        <v>6.3410529999999996</v>
      </c>
      <c r="X62">
        <v>6.2282710000000003</v>
      </c>
      <c r="Y62">
        <v>6.0641179999999997</v>
      </c>
      <c r="Z62">
        <v>6.8374980000000001</v>
      </c>
      <c r="AA62">
        <v>6.2105249999999996</v>
      </c>
      <c r="AB62">
        <f>_xlfn.XLOOKUP($A62, DEG!$B:$B, DEG!$E:$E, "not sig")</f>
        <v>1.3275742718582101E-4</v>
      </c>
      <c r="AC62">
        <f>IFERROR(VALUE(_xlfn.XLOOKUP($A62, DEG!$B:$B, DEG!$D:$D)), "")</f>
        <v>1.76721025</v>
      </c>
    </row>
    <row r="63" spans="1:29" hidden="1" x14ac:dyDescent="0.3">
      <c r="A63" t="s">
        <v>151</v>
      </c>
      <c r="B63" t="s">
        <v>152</v>
      </c>
      <c r="C63" t="s">
        <v>34</v>
      </c>
      <c r="D63">
        <v>4.6126639999999997</v>
      </c>
      <c r="E63">
        <v>3.5492189999999999</v>
      </c>
      <c r="F63">
        <v>5.20303</v>
      </c>
      <c r="G63">
        <v>4.8670499999999999</v>
      </c>
      <c r="H63">
        <v>4.0303950000000004</v>
      </c>
      <c r="I63">
        <v>4.5267059999999999</v>
      </c>
      <c r="J63">
        <v>2.9185150000000002</v>
      </c>
      <c r="K63">
        <v>2.0999210000000001</v>
      </c>
      <c r="L63">
        <v>3.7574079999999999</v>
      </c>
      <c r="M63">
        <v>2.5958320000000001</v>
      </c>
      <c r="N63">
        <v>2.3181500000000002</v>
      </c>
      <c r="O63">
        <v>1.713058</v>
      </c>
      <c r="P63">
        <v>4.8797819999999996</v>
      </c>
      <c r="Q63">
        <v>3.360242</v>
      </c>
      <c r="R63">
        <v>5.4708920000000001</v>
      </c>
      <c r="S63">
        <v>4.0300570000000002</v>
      </c>
      <c r="T63">
        <v>4.9477929999999999</v>
      </c>
      <c r="U63">
        <v>5.4871080000000001</v>
      </c>
      <c r="V63">
        <v>3.256561</v>
      </c>
      <c r="W63">
        <v>3.0743649999999998</v>
      </c>
      <c r="X63">
        <v>2.0949209999999998</v>
      </c>
      <c r="Y63">
        <v>2.9190770000000001</v>
      </c>
      <c r="Z63">
        <v>3.1276169999999999</v>
      </c>
      <c r="AA63">
        <v>3.1831170000000002</v>
      </c>
      <c r="AB63" t="str">
        <f>_xlfn.XLOOKUP($A63, DEG!$B:$B, DEG!$E:$E, "not sig")</f>
        <v>not sig</v>
      </c>
      <c r="AC63" t="str">
        <f>IFERROR(VALUE(_xlfn.XLOOKUP($A63, DEG!$B:$B, DEG!$D:$D)), "")</f>
        <v/>
      </c>
    </row>
    <row r="64" spans="1:29" hidden="1" x14ac:dyDescent="0.3">
      <c r="A64" t="s">
        <v>153</v>
      </c>
      <c r="B64" t="s">
        <v>154</v>
      </c>
      <c r="C64" t="s">
        <v>34</v>
      </c>
      <c r="D64">
        <v>7.9443299999999999</v>
      </c>
      <c r="E64">
        <v>8.2441720000000007</v>
      </c>
      <c r="F64">
        <v>7.8796869999999997</v>
      </c>
      <c r="G64">
        <v>7.3586980000000004</v>
      </c>
      <c r="H64">
        <v>7.1106400000000001</v>
      </c>
      <c r="I64">
        <v>6.5833240000000002</v>
      </c>
      <c r="J64">
        <v>7.256424</v>
      </c>
      <c r="K64">
        <v>7.3339090000000002</v>
      </c>
      <c r="L64">
        <v>7.3162469999999997</v>
      </c>
      <c r="M64">
        <v>7.9223460000000001</v>
      </c>
      <c r="N64">
        <v>7.1125189999999998</v>
      </c>
      <c r="O64">
        <v>7.2665129999999998</v>
      </c>
      <c r="P64">
        <v>5.9021540000000003</v>
      </c>
      <c r="Q64">
        <v>6.7068500000000002</v>
      </c>
      <c r="R64">
        <v>5.325863</v>
      </c>
      <c r="S64">
        <v>7.2263149999999996</v>
      </c>
      <c r="T64">
        <v>6.4492330000000004</v>
      </c>
      <c r="U64">
        <v>6.6565260000000004</v>
      </c>
      <c r="V64">
        <v>7.033455</v>
      </c>
      <c r="W64">
        <v>6.9346350000000001</v>
      </c>
      <c r="X64">
        <v>6.716844</v>
      </c>
      <c r="Y64">
        <v>6.3468140000000002</v>
      </c>
      <c r="Z64">
        <v>6.8484860000000003</v>
      </c>
      <c r="AA64">
        <v>6.3452380000000002</v>
      </c>
      <c r="AB64" t="str">
        <f>_xlfn.XLOOKUP($A64, DEG!$B:$B, DEG!$E:$E, "not sig")</f>
        <v>not sig</v>
      </c>
      <c r="AC64" t="str">
        <f>IFERROR(VALUE(_xlfn.XLOOKUP($A64, DEG!$B:$B, DEG!$D:$D)), "")</f>
        <v/>
      </c>
    </row>
    <row r="65" spans="1:29" hidden="1" x14ac:dyDescent="0.3">
      <c r="A65" t="s">
        <v>155</v>
      </c>
      <c r="B65" t="s">
        <v>156</v>
      </c>
      <c r="C65" t="s">
        <v>34</v>
      </c>
      <c r="D65">
        <v>4.079618</v>
      </c>
      <c r="E65">
        <v>3.304827</v>
      </c>
      <c r="F65">
        <v>4.7890759999999997</v>
      </c>
      <c r="G65">
        <v>3.764154</v>
      </c>
      <c r="H65">
        <v>4.8844820000000002</v>
      </c>
      <c r="I65">
        <v>4.054646</v>
      </c>
      <c r="J65">
        <v>3.074859</v>
      </c>
      <c r="K65">
        <v>3.3350659999999999</v>
      </c>
      <c r="L65">
        <v>2.6184609999999999</v>
      </c>
      <c r="M65">
        <v>3.2764280000000001</v>
      </c>
      <c r="N65">
        <v>3.2160540000000002</v>
      </c>
      <c r="O65">
        <v>2.9307189999999999</v>
      </c>
      <c r="P65">
        <v>3.3623530000000001</v>
      </c>
      <c r="Q65">
        <v>4.276052</v>
      </c>
      <c r="R65">
        <v>4.616174</v>
      </c>
      <c r="S65">
        <v>4.4675310000000001</v>
      </c>
      <c r="T65">
        <v>4.0132199999999996</v>
      </c>
      <c r="U65">
        <v>5.162121</v>
      </c>
      <c r="V65">
        <v>2.5915780000000002</v>
      </c>
      <c r="W65">
        <v>3.2494459999999998</v>
      </c>
      <c r="X65">
        <v>2.0530780000000002</v>
      </c>
      <c r="Y65">
        <v>2.7395640000000001</v>
      </c>
      <c r="Z65">
        <v>2.995422</v>
      </c>
      <c r="AA65">
        <v>3.5350540000000001</v>
      </c>
      <c r="AB65" t="str">
        <f>_xlfn.XLOOKUP($A65, DEG!$B:$B, DEG!$E:$E, "not sig")</f>
        <v>not sig</v>
      </c>
      <c r="AC65" t="str">
        <f>IFERROR(VALUE(_xlfn.XLOOKUP($A65, DEG!$B:$B, DEG!$D:$D)), "")</f>
        <v/>
      </c>
    </row>
    <row r="66" spans="1:29" hidden="1" x14ac:dyDescent="0.3">
      <c r="A66" t="s">
        <v>157</v>
      </c>
      <c r="B66" t="s">
        <v>158</v>
      </c>
      <c r="C66" t="s">
        <v>34</v>
      </c>
      <c r="D66">
        <v>3.0506139999999999</v>
      </c>
      <c r="E66">
        <v>3.0200619999999998</v>
      </c>
      <c r="F66">
        <v>3.2514780000000001</v>
      </c>
      <c r="G66">
        <v>3.1725620000000001</v>
      </c>
      <c r="H66">
        <v>2.7669220000000001</v>
      </c>
      <c r="I66">
        <v>3.296856</v>
      </c>
      <c r="J66">
        <v>2.6136759999999999</v>
      </c>
      <c r="K66">
        <v>2.6723819999999998</v>
      </c>
      <c r="L66">
        <v>2.17041</v>
      </c>
      <c r="M66">
        <v>3.5118580000000001</v>
      </c>
      <c r="N66">
        <v>2.451927</v>
      </c>
      <c r="O66">
        <v>2.8645049999999999</v>
      </c>
      <c r="P66">
        <v>3.4660549999999999</v>
      </c>
      <c r="Q66">
        <v>2.6919430000000002</v>
      </c>
      <c r="R66">
        <v>3.0849530000000001</v>
      </c>
      <c r="S66">
        <v>3.3296640000000002</v>
      </c>
      <c r="T66">
        <v>3.7707000000000002</v>
      </c>
      <c r="U66">
        <v>2.906469</v>
      </c>
      <c r="V66">
        <v>1.7652570000000001</v>
      </c>
      <c r="W66">
        <v>2.723255</v>
      </c>
      <c r="X66">
        <v>2.6464460000000001</v>
      </c>
      <c r="Y66">
        <v>2.8291409999999999</v>
      </c>
      <c r="Z66">
        <v>2.1848290000000001</v>
      </c>
      <c r="AA66">
        <v>2.1429749999999999</v>
      </c>
      <c r="AB66" t="str">
        <f>_xlfn.XLOOKUP($A66, DEG!$B:$B, DEG!$E:$E, "not sig")</f>
        <v>not sig</v>
      </c>
      <c r="AC66" t="str">
        <f>IFERROR(VALUE(_xlfn.XLOOKUP($A66, DEG!$B:$B, DEG!$D:$D)), "")</f>
        <v/>
      </c>
    </row>
    <row r="67" spans="1:29" hidden="1" x14ac:dyDescent="0.3">
      <c r="A67" t="s">
        <v>159</v>
      </c>
      <c r="B67" t="s">
        <v>160</v>
      </c>
      <c r="C67" t="s">
        <v>34</v>
      </c>
      <c r="D67">
        <v>2.7988019999999998</v>
      </c>
      <c r="E67">
        <v>3.3867400000000001</v>
      </c>
      <c r="F67">
        <v>3.6982200000000001</v>
      </c>
      <c r="G67">
        <v>3.9513349999999998</v>
      </c>
      <c r="H67">
        <v>3.7957580000000002</v>
      </c>
      <c r="I67">
        <v>3.280494</v>
      </c>
      <c r="J67">
        <v>2.336433</v>
      </c>
      <c r="K67">
        <v>1.8551869999999999</v>
      </c>
      <c r="L67">
        <v>2.0685199999999999</v>
      </c>
      <c r="M67">
        <v>2.0174080000000001</v>
      </c>
      <c r="N67">
        <v>2.3260909999999999</v>
      </c>
      <c r="O67">
        <v>1.812778</v>
      </c>
      <c r="P67">
        <v>3.256399</v>
      </c>
      <c r="Q67">
        <v>3.287525</v>
      </c>
      <c r="R67">
        <v>3.9977149999999999</v>
      </c>
      <c r="S67">
        <v>3.5763919999999998</v>
      </c>
      <c r="T67">
        <v>3.275274</v>
      </c>
      <c r="U67">
        <v>3.6920299999999999</v>
      </c>
      <c r="V67">
        <v>2.2971409999999999</v>
      </c>
      <c r="W67">
        <v>2.4330989999999999</v>
      </c>
      <c r="X67">
        <v>2.5968390000000001</v>
      </c>
      <c r="Y67">
        <v>2.6349559999999999</v>
      </c>
      <c r="Z67">
        <v>2.5481210000000001</v>
      </c>
      <c r="AA67">
        <v>2.7062490000000001</v>
      </c>
      <c r="AB67" t="str">
        <f>_xlfn.XLOOKUP($A67, DEG!$B:$B, DEG!$E:$E, "not sig")</f>
        <v>not sig</v>
      </c>
      <c r="AC67" t="str">
        <f>IFERROR(VALUE(_xlfn.XLOOKUP($A67, DEG!$B:$B, DEG!$D:$D)), "")</f>
        <v/>
      </c>
    </row>
    <row r="68" spans="1:29" hidden="1" x14ac:dyDescent="0.3">
      <c r="A68" t="s">
        <v>161</v>
      </c>
      <c r="B68" t="s">
        <v>162</v>
      </c>
      <c r="C68" t="s">
        <v>34</v>
      </c>
      <c r="D68">
        <v>2.8669289999999998</v>
      </c>
      <c r="E68">
        <v>2.87554</v>
      </c>
      <c r="F68">
        <v>2.902174</v>
      </c>
      <c r="G68">
        <v>3.3123360000000002</v>
      </c>
      <c r="H68">
        <v>3.4184939999999999</v>
      </c>
      <c r="I68">
        <v>3.044508</v>
      </c>
      <c r="J68">
        <v>3.2108910000000002</v>
      </c>
      <c r="K68">
        <v>2.3704010000000002</v>
      </c>
      <c r="L68">
        <v>2.366314</v>
      </c>
      <c r="M68">
        <v>2.6130740000000001</v>
      </c>
      <c r="N68">
        <v>2.69204</v>
      </c>
      <c r="O68">
        <v>2.0429219999999999</v>
      </c>
      <c r="P68">
        <v>2.9792869999999998</v>
      </c>
      <c r="Q68">
        <v>2.6029879999999999</v>
      </c>
      <c r="R68">
        <v>2.8614139999999999</v>
      </c>
      <c r="S68">
        <v>3.7732009999999998</v>
      </c>
      <c r="T68">
        <v>4.6072949999999997</v>
      </c>
      <c r="U68">
        <v>4.3499530000000002</v>
      </c>
      <c r="V68">
        <v>2.569296</v>
      </c>
      <c r="W68">
        <v>3.2091099999999999</v>
      </c>
      <c r="X68">
        <v>3.4201730000000001</v>
      </c>
      <c r="Y68">
        <v>2.896414</v>
      </c>
      <c r="Z68">
        <v>3.5174020000000001</v>
      </c>
      <c r="AA68">
        <v>2.5096850000000002</v>
      </c>
      <c r="AB68" t="str">
        <f>_xlfn.XLOOKUP($A68, DEG!$B:$B, DEG!$E:$E, "not sig")</f>
        <v>not sig</v>
      </c>
      <c r="AC68" t="str">
        <f>IFERROR(VALUE(_xlfn.XLOOKUP($A68, DEG!$B:$B, DEG!$D:$D)), "")</f>
        <v/>
      </c>
    </row>
    <row r="69" spans="1:29" hidden="1" x14ac:dyDescent="0.3">
      <c r="A69" t="s">
        <v>163</v>
      </c>
      <c r="B69" t="s">
        <v>164</v>
      </c>
      <c r="C69" t="s">
        <v>34</v>
      </c>
      <c r="D69">
        <v>3.6208580000000001</v>
      </c>
      <c r="E69">
        <v>3.827286</v>
      </c>
      <c r="F69">
        <v>4.3020160000000001</v>
      </c>
      <c r="G69">
        <v>3.4906640000000002</v>
      </c>
      <c r="H69">
        <v>3.7852160000000001</v>
      </c>
      <c r="I69">
        <v>3.770848</v>
      </c>
      <c r="J69">
        <v>2.3828149999999999</v>
      </c>
      <c r="K69">
        <v>2.8469690000000001</v>
      </c>
      <c r="L69">
        <v>2.2476280000000002</v>
      </c>
      <c r="M69">
        <v>2.2504149999999998</v>
      </c>
      <c r="N69">
        <v>2.405208</v>
      </c>
      <c r="O69">
        <v>3.060133</v>
      </c>
      <c r="P69">
        <v>3.4991530000000002</v>
      </c>
      <c r="Q69">
        <v>3.7582239999999998</v>
      </c>
      <c r="R69">
        <v>2.9493239999999998</v>
      </c>
      <c r="S69">
        <v>4.5975070000000002</v>
      </c>
      <c r="T69">
        <v>3.660552</v>
      </c>
      <c r="U69">
        <v>5.5224149999999996</v>
      </c>
      <c r="V69">
        <v>3.1383269999999999</v>
      </c>
      <c r="W69">
        <v>3.1963620000000001</v>
      </c>
      <c r="X69">
        <v>3.31107</v>
      </c>
      <c r="Y69">
        <v>2.781434</v>
      </c>
      <c r="Z69">
        <v>2.739852</v>
      </c>
      <c r="AA69">
        <v>3.350673</v>
      </c>
      <c r="AB69" t="str">
        <f>_xlfn.XLOOKUP($A69, DEG!$B:$B, DEG!$E:$E, "not sig")</f>
        <v>not sig</v>
      </c>
      <c r="AC69" t="str">
        <f>IFERROR(VALUE(_xlfn.XLOOKUP($A69, DEG!$B:$B, DEG!$D:$D)), "")</f>
        <v/>
      </c>
    </row>
    <row r="70" spans="1:29" hidden="1" x14ac:dyDescent="0.3">
      <c r="A70" t="s">
        <v>165</v>
      </c>
      <c r="B70" t="s">
        <v>166</v>
      </c>
      <c r="C70" t="s">
        <v>31</v>
      </c>
      <c r="D70">
        <v>6.7372529999999999</v>
      </c>
      <c r="E70">
        <v>7.6312300000000004</v>
      </c>
      <c r="F70">
        <v>7.3948</v>
      </c>
      <c r="G70">
        <v>7.8448200000000003</v>
      </c>
      <c r="H70">
        <v>7.9949409999999999</v>
      </c>
      <c r="I70">
        <v>7.4037940000000004</v>
      </c>
      <c r="J70">
        <v>6.9268470000000004</v>
      </c>
      <c r="K70">
        <v>6.9239829999999998</v>
      </c>
      <c r="L70">
        <v>6.3298139999999998</v>
      </c>
      <c r="M70">
        <v>6.7740489999999998</v>
      </c>
      <c r="N70">
        <v>6.6598059999999997</v>
      </c>
      <c r="O70">
        <v>7.0613890000000001</v>
      </c>
      <c r="P70">
        <v>4.5048820000000003</v>
      </c>
      <c r="Q70">
        <v>4.8643660000000004</v>
      </c>
      <c r="R70">
        <v>5.5118619999999998</v>
      </c>
      <c r="S70">
        <v>7.066624</v>
      </c>
      <c r="T70">
        <v>6.5400739999999997</v>
      </c>
      <c r="U70">
        <v>6.3412439999999997</v>
      </c>
      <c r="V70">
        <v>6.056514</v>
      </c>
      <c r="W70">
        <v>5.5426599999999997</v>
      </c>
      <c r="X70">
        <v>5.8575169999999996</v>
      </c>
      <c r="Y70">
        <v>5.3118030000000003</v>
      </c>
      <c r="Z70">
        <v>5.612724</v>
      </c>
      <c r="AA70">
        <v>3.602014</v>
      </c>
      <c r="AB70" t="str">
        <f>_xlfn.XLOOKUP($A70, DEG!$B:$B, DEG!$E:$E, "not sig")</f>
        <v>not sig</v>
      </c>
      <c r="AC70" t="str">
        <f>IFERROR(VALUE(_xlfn.XLOOKUP($A70, DEG!$B:$B, DEG!$D:$D)), "")</f>
        <v/>
      </c>
    </row>
    <row r="71" spans="1:29" x14ac:dyDescent="0.3">
      <c r="A71" t="s">
        <v>167</v>
      </c>
      <c r="B71" t="s">
        <v>168</v>
      </c>
      <c r="C71" t="s">
        <v>28</v>
      </c>
      <c r="D71">
        <v>3.8191030000000001</v>
      </c>
      <c r="E71">
        <v>3.9464779999999999</v>
      </c>
      <c r="F71">
        <v>2.7357420000000001</v>
      </c>
      <c r="G71">
        <v>3.84</v>
      </c>
      <c r="H71">
        <v>3.2212100000000001</v>
      </c>
      <c r="I71">
        <v>4.0099179999999999</v>
      </c>
      <c r="J71">
        <v>2.2215289999999999</v>
      </c>
      <c r="K71">
        <v>2.8723230000000002</v>
      </c>
      <c r="L71">
        <v>2.8014990000000002</v>
      </c>
      <c r="M71">
        <v>2.5889519999999999</v>
      </c>
      <c r="N71">
        <v>2.6857760000000002</v>
      </c>
      <c r="O71">
        <v>2.7611789999999998</v>
      </c>
      <c r="P71">
        <v>6.8234969999999997</v>
      </c>
      <c r="Q71">
        <v>4.243563</v>
      </c>
      <c r="R71">
        <v>5.8966750000000001</v>
      </c>
      <c r="S71">
        <v>4.7937729999999998</v>
      </c>
      <c r="T71">
        <v>5.9481099999999998</v>
      </c>
      <c r="U71">
        <v>4.9442950000000003</v>
      </c>
      <c r="V71">
        <v>3.0817380000000001</v>
      </c>
      <c r="W71">
        <v>3.8575590000000002</v>
      </c>
      <c r="X71">
        <v>4.0153660000000002</v>
      </c>
      <c r="Y71">
        <v>4.0115080000000001</v>
      </c>
      <c r="Z71">
        <v>4.0372279999999998</v>
      </c>
      <c r="AA71">
        <v>3.437789</v>
      </c>
      <c r="AB71">
        <f>_xlfn.XLOOKUP($A71, DEG!$B:$B, DEG!$E:$E, "not sig")</f>
        <v>3.3840677797235901E-3</v>
      </c>
      <c r="AC71">
        <f>IFERROR(VALUE(_xlfn.XLOOKUP($A71, DEG!$B:$B, DEG!$D:$D)), "")</f>
        <v>1.465616</v>
      </c>
    </row>
    <row r="72" spans="1:29" hidden="1" x14ac:dyDescent="0.3">
      <c r="A72" t="s">
        <v>169</v>
      </c>
      <c r="B72" t="s">
        <v>170</v>
      </c>
      <c r="C72" t="s">
        <v>34</v>
      </c>
      <c r="D72">
        <v>3.0057689999999999</v>
      </c>
      <c r="E72">
        <v>3.2013780000000001</v>
      </c>
      <c r="F72">
        <v>2.9630770000000002</v>
      </c>
      <c r="G72">
        <v>2.8241679999999998</v>
      </c>
      <c r="H72">
        <v>3.0624210000000001</v>
      </c>
      <c r="I72">
        <v>2.9620410000000001</v>
      </c>
      <c r="J72">
        <v>1.8945000000000001</v>
      </c>
      <c r="K72">
        <v>2.894409</v>
      </c>
      <c r="L72">
        <v>3.317288</v>
      </c>
      <c r="M72">
        <v>1.583391</v>
      </c>
      <c r="N72">
        <v>2.0709550000000001</v>
      </c>
      <c r="O72">
        <v>1.90825</v>
      </c>
      <c r="P72">
        <v>2.8870930000000001</v>
      </c>
      <c r="Q72">
        <v>2.9760469999999999</v>
      </c>
      <c r="R72">
        <v>3.309828</v>
      </c>
      <c r="S72">
        <v>2.8989449999999999</v>
      </c>
      <c r="T72">
        <v>2.9769760000000001</v>
      </c>
      <c r="U72">
        <v>2.8437809999999999</v>
      </c>
      <c r="V72">
        <v>1.9035789999999999</v>
      </c>
      <c r="W72">
        <v>1.888657</v>
      </c>
      <c r="X72">
        <v>2.1120480000000001</v>
      </c>
      <c r="Y72">
        <v>2.2518639999999999</v>
      </c>
      <c r="Z72">
        <v>2.547498</v>
      </c>
      <c r="AA72">
        <v>2.6920320000000002</v>
      </c>
      <c r="AB72" t="str">
        <f>_xlfn.XLOOKUP($A72, DEG!$B:$B, DEG!$E:$E, "not sig")</f>
        <v>not sig</v>
      </c>
      <c r="AC72" t="str">
        <f>IFERROR(VALUE(_xlfn.XLOOKUP($A72, DEG!$B:$B, DEG!$D:$D)), "")</f>
        <v/>
      </c>
    </row>
    <row r="73" spans="1:29" hidden="1" x14ac:dyDescent="0.3">
      <c r="A73" t="s">
        <v>171</v>
      </c>
      <c r="B73" t="s">
        <v>172</v>
      </c>
      <c r="C73" t="s">
        <v>31</v>
      </c>
      <c r="D73">
        <v>13.152279999999999</v>
      </c>
      <c r="E73">
        <v>13.13411</v>
      </c>
      <c r="F73">
        <v>13.29289</v>
      </c>
      <c r="G73">
        <v>13.82053</v>
      </c>
      <c r="H73">
        <v>13.82193</v>
      </c>
      <c r="I73">
        <v>13.62158</v>
      </c>
      <c r="J73">
        <v>12.723140000000001</v>
      </c>
      <c r="K73">
        <v>12.68219</v>
      </c>
      <c r="L73">
        <v>12.712120000000001</v>
      </c>
      <c r="M73">
        <v>12.45843</v>
      </c>
      <c r="N73">
        <v>12.62567</v>
      </c>
      <c r="O73">
        <v>12.36767</v>
      </c>
      <c r="P73">
        <v>11.937239999999999</v>
      </c>
      <c r="Q73">
        <v>11.900309999999999</v>
      </c>
      <c r="R73">
        <v>12.231260000000001</v>
      </c>
      <c r="S73">
        <v>12.72214</v>
      </c>
      <c r="T73">
        <v>12.38242</v>
      </c>
      <c r="U73">
        <v>12.86448</v>
      </c>
      <c r="V73">
        <v>11.548959999999999</v>
      </c>
      <c r="W73">
        <v>11.451930000000001</v>
      </c>
      <c r="X73">
        <v>11.277889999999999</v>
      </c>
      <c r="Y73">
        <v>11.212899999999999</v>
      </c>
      <c r="Z73">
        <v>11.37926</v>
      </c>
      <c r="AA73">
        <v>11.27028</v>
      </c>
      <c r="AB73" t="str">
        <f>_xlfn.XLOOKUP($A73, DEG!$B:$B, DEG!$E:$E, "not sig")</f>
        <v>not sig</v>
      </c>
      <c r="AC73" t="str">
        <f>IFERROR(VALUE(_xlfn.XLOOKUP($A73, DEG!$B:$B, DEG!$D:$D)), "")</f>
        <v/>
      </c>
    </row>
    <row r="74" spans="1:29" hidden="1" x14ac:dyDescent="0.3">
      <c r="A74" t="s">
        <v>173</v>
      </c>
      <c r="B74" t="s">
        <v>174</v>
      </c>
      <c r="C74" t="s">
        <v>34</v>
      </c>
      <c r="D74">
        <v>2.9128949999999998</v>
      </c>
      <c r="E74">
        <v>3.9650259999999999</v>
      </c>
      <c r="F74">
        <v>3.7931080000000001</v>
      </c>
      <c r="G74">
        <v>4.1814980000000004</v>
      </c>
      <c r="H74">
        <v>4.3679649999999999</v>
      </c>
      <c r="I74">
        <v>3.6677390000000001</v>
      </c>
      <c r="J74">
        <v>2.7162500000000001</v>
      </c>
      <c r="K74">
        <v>2.3864559999999999</v>
      </c>
      <c r="L74">
        <v>1.8597379999999999</v>
      </c>
      <c r="M74">
        <v>2.0712130000000002</v>
      </c>
      <c r="N74">
        <v>1.871521</v>
      </c>
      <c r="O74">
        <v>2.4030490000000002</v>
      </c>
      <c r="P74">
        <v>3.2280690000000001</v>
      </c>
      <c r="Q74">
        <v>3.5650710000000001</v>
      </c>
      <c r="R74">
        <v>2.8076699999999999</v>
      </c>
      <c r="S74">
        <v>3.9433500000000001</v>
      </c>
      <c r="T74">
        <v>3.4299569999999999</v>
      </c>
      <c r="U74">
        <v>4.0373950000000001</v>
      </c>
      <c r="V74">
        <v>1.761768</v>
      </c>
      <c r="W74">
        <v>1.8723030000000001</v>
      </c>
      <c r="X74">
        <v>2.2027100000000002</v>
      </c>
      <c r="Y74">
        <v>2.0272009999999998</v>
      </c>
      <c r="Z74">
        <v>2.6404139999999998</v>
      </c>
      <c r="AA74">
        <v>2.7784390000000001</v>
      </c>
      <c r="AB74" t="str">
        <f>_xlfn.XLOOKUP($A74, DEG!$B:$B, DEG!$E:$E, "not sig")</f>
        <v>not sig</v>
      </c>
      <c r="AC74" t="str">
        <f>IFERROR(VALUE(_xlfn.XLOOKUP($A74, DEG!$B:$B, DEG!$D:$D)), "")</f>
        <v/>
      </c>
    </row>
    <row r="75" spans="1:29" hidden="1" x14ac:dyDescent="0.3">
      <c r="A75" t="s">
        <v>175</v>
      </c>
      <c r="B75" t="s">
        <v>176</v>
      </c>
      <c r="C75" t="s">
        <v>34</v>
      </c>
      <c r="D75">
        <v>4.6374019999999998</v>
      </c>
      <c r="E75">
        <v>5.0968999999999998</v>
      </c>
      <c r="F75">
        <v>4.2022120000000003</v>
      </c>
      <c r="G75">
        <v>4.636647</v>
      </c>
      <c r="H75">
        <v>4.9065000000000003</v>
      </c>
      <c r="I75">
        <v>4.8720129999999999</v>
      </c>
      <c r="J75">
        <v>4.071663</v>
      </c>
      <c r="K75">
        <v>3.2672720000000002</v>
      </c>
      <c r="L75">
        <v>2.725152</v>
      </c>
      <c r="M75">
        <v>4.5536669999999999</v>
      </c>
      <c r="N75">
        <v>2.9537949999999999</v>
      </c>
      <c r="O75">
        <v>4.055364</v>
      </c>
      <c r="P75">
        <v>5.2092369999999999</v>
      </c>
      <c r="Q75">
        <v>4.6243489999999996</v>
      </c>
      <c r="R75">
        <v>4.9159810000000004</v>
      </c>
      <c r="S75">
        <v>5.2249150000000002</v>
      </c>
      <c r="T75">
        <v>5.1760999999999999</v>
      </c>
      <c r="U75">
        <v>5.4090550000000004</v>
      </c>
      <c r="V75">
        <v>3.4574189999999998</v>
      </c>
      <c r="W75">
        <v>3.9864419999999998</v>
      </c>
      <c r="X75">
        <v>4.2708250000000003</v>
      </c>
      <c r="Y75">
        <v>3.8234409999999999</v>
      </c>
      <c r="Z75">
        <v>4.4789380000000003</v>
      </c>
      <c r="AA75">
        <v>2.4402629999999998</v>
      </c>
      <c r="AB75" t="str">
        <f>_xlfn.XLOOKUP($A75, DEG!$B:$B, DEG!$E:$E, "not sig")</f>
        <v>not sig</v>
      </c>
      <c r="AC75" t="str">
        <f>IFERROR(VALUE(_xlfn.XLOOKUP($A75, DEG!$B:$B, DEG!$D:$D)), "")</f>
        <v/>
      </c>
    </row>
    <row r="76" spans="1:29" hidden="1" x14ac:dyDescent="0.3">
      <c r="A76" t="s">
        <v>177</v>
      </c>
      <c r="B76" t="s">
        <v>178</v>
      </c>
      <c r="C76" t="s">
        <v>34</v>
      </c>
      <c r="D76">
        <v>3.8286530000000001</v>
      </c>
      <c r="E76">
        <v>3.0507810000000002</v>
      </c>
      <c r="F76">
        <v>2.8523450000000001</v>
      </c>
      <c r="G76">
        <v>2.9510670000000001</v>
      </c>
      <c r="H76">
        <v>3.2579570000000002</v>
      </c>
      <c r="I76">
        <v>3.1568969999999998</v>
      </c>
      <c r="J76">
        <v>2.096711</v>
      </c>
      <c r="K76">
        <v>2.1390660000000001</v>
      </c>
      <c r="L76">
        <v>3.5990199999999999</v>
      </c>
      <c r="M76">
        <v>2.2525110000000002</v>
      </c>
      <c r="N76">
        <v>2.2798959999999999</v>
      </c>
      <c r="O76">
        <v>2.2852079999999999</v>
      </c>
      <c r="P76">
        <v>3.0420379999999998</v>
      </c>
      <c r="Q76">
        <v>3.0800230000000002</v>
      </c>
      <c r="R76">
        <v>3.8619720000000002</v>
      </c>
      <c r="S76">
        <v>2.919829</v>
      </c>
      <c r="T76">
        <v>3.509906</v>
      </c>
      <c r="U76">
        <v>2.9558949999999999</v>
      </c>
      <c r="V76">
        <v>1.975419</v>
      </c>
      <c r="W76">
        <v>1.9096409999999999</v>
      </c>
      <c r="X76">
        <v>2.1065809999999998</v>
      </c>
      <c r="Y76">
        <v>2.123707</v>
      </c>
      <c r="Z76">
        <v>2.8145899999999999</v>
      </c>
      <c r="AA76">
        <v>1.749117</v>
      </c>
      <c r="AB76" t="str">
        <f>_xlfn.XLOOKUP($A76, DEG!$B:$B, DEG!$E:$E, "not sig")</f>
        <v>not sig</v>
      </c>
      <c r="AC76" t="str">
        <f>IFERROR(VALUE(_xlfn.XLOOKUP($A76, DEG!$B:$B, DEG!$D:$D)), "")</f>
        <v/>
      </c>
    </row>
    <row r="77" spans="1:29" x14ac:dyDescent="0.3">
      <c r="A77" t="s">
        <v>179</v>
      </c>
      <c r="B77" t="s">
        <v>180</v>
      </c>
      <c r="C77" t="s">
        <v>28</v>
      </c>
      <c r="D77">
        <v>3.9629029999999998</v>
      </c>
      <c r="E77">
        <v>4.1450269999999998</v>
      </c>
      <c r="F77">
        <v>4.9209949999999996</v>
      </c>
      <c r="G77">
        <v>6.9024419999999997</v>
      </c>
      <c r="H77">
        <v>6.6854740000000001</v>
      </c>
      <c r="I77">
        <v>6.8695880000000002</v>
      </c>
      <c r="J77">
        <v>5.1984539999999999</v>
      </c>
      <c r="K77">
        <v>4.9063090000000003</v>
      </c>
      <c r="L77">
        <v>5.1310390000000003</v>
      </c>
      <c r="M77">
        <v>5.6496459999999997</v>
      </c>
      <c r="N77">
        <v>3.6764790000000001</v>
      </c>
      <c r="O77">
        <v>4.9553630000000002</v>
      </c>
      <c r="P77">
        <v>6.0122340000000003</v>
      </c>
      <c r="Q77">
        <v>5.8599589999999999</v>
      </c>
      <c r="R77">
        <v>7.0929859999999998</v>
      </c>
      <c r="S77">
        <v>9.4786739999999998</v>
      </c>
      <c r="T77">
        <v>9.9150530000000003</v>
      </c>
      <c r="U77">
        <v>9.3012479999999993</v>
      </c>
      <c r="V77">
        <v>10.034789999999999</v>
      </c>
      <c r="W77">
        <v>9.9644560000000002</v>
      </c>
      <c r="X77">
        <v>9.9259909999999998</v>
      </c>
      <c r="Y77">
        <v>9.7946410000000004</v>
      </c>
      <c r="Z77">
        <v>9.4153950000000002</v>
      </c>
      <c r="AA77">
        <v>8.3549779999999991</v>
      </c>
      <c r="AB77" t="str">
        <f>_xlfn.XLOOKUP($A77, DEG!$B:$B, DEG!$E:$E, "not sig")</f>
        <v>9.03268159809513e-06</v>
      </c>
      <c r="AC77">
        <f>IFERROR(VALUE(_xlfn.XLOOKUP($A77, DEG!$B:$B, DEG!$D:$D)), "")</f>
        <v>3.51222383333333</v>
      </c>
    </row>
    <row r="78" spans="1:29" hidden="1" x14ac:dyDescent="0.3">
      <c r="A78" t="s">
        <v>181</v>
      </c>
      <c r="B78" t="s">
        <v>182</v>
      </c>
      <c r="C78" t="s">
        <v>34</v>
      </c>
      <c r="D78">
        <v>6.0035379999999998</v>
      </c>
      <c r="E78">
        <v>6.4144519999999998</v>
      </c>
      <c r="F78">
        <v>6.0928930000000001</v>
      </c>
      <c r="G78">
        <v>9.7786050000000007</v>
      </c>
      <c r="H78">
        <v>9.7346789999999999</v>
      </c>
      <c r="I78">
        <v>9.940963</v>
      </c>
      <c r="J78">
        <v>8.1946290000000008</v>
      </c>
      <c r="K78">
        <v>8.5438310000000008</v>
      </c>
      <c r="L78">
        <v>8.4470209999999994</v>
      </c>
      <c r="M78">
        <v>8.6605279999999993</v>
      </c>
      <c r="N78">
        <v>8.5378799999999995</v>
      </c>
      <c r="O78">
        <v>8.4452040000000004</v>
      </c>
      <c r="P78">
        <v>4.2068830000000004</v>
      </c>
      <c r="Q78">
        <v>4.7274370000000001</v>
      </c>
      <c r="R78">
        <v>3.3400799999999999</v>
      </c>
      <c r="S78">
        <v>9.1058570000000003</v>
      </c>
      <c r="T78">
        <v>9.3583339999999993</v>
      </c>
      <c r="U78">
        <v>9.082039</v>
      </c>
      <c r="V78">
        <v>8.0727810000000009</v>
      </c>
      <c r="W78">
        <v>7.9382489999999999</v>
      </c>
      <c r="X78">
        <v>7.8271230000000003</v>
      </c>
      <c r="Y78">
        <v>7.6751379999999996</v>
      </c>
      <c r="Z78">
        <v>7.1892110000000002</v>
      </c>
      <c r="AA78">
        <v>7.746264</v>
      </c>
      <c r="AB78" t="str">
        <f>_xlfn.XLOOKUP($A78, DEG!$B:$B, DEG!$E:$E, "not sig")</f>
        <v>not sig</v>
      </c>
      <c r="AC78" t="str">
        <f>IFERROR(VALUE(_xlfn.XLOOKUP($A78, DEG!$B:$B, DEG!$D:$D)), "")</f>
        <v/>
      </c>
    </row>
    <row r="79" spans="1:29" hidden="1" x14ac:dyDescent="0.3">
      <c r="A79" t="s">
        <v>183</v>
      </c>
      <c r="B79" t="s">
        <v>184</v>
      </c>
      <c r="C79" t="s">
        <v>34</v>
      </c>
      <c r="D79">
        <v>3.178544</v>
      </c>
      <c r="E79">
        <v>3.1531729999999998</v>
      </c>
      <c r="F79">
        <v>3.5458240000000001</v>
      </c>
      <c r="G79">
        <v>3.6616879999999998</v>
      </c>
      <c r="H79">
        <v>3.2855940000000001</v>
      </c>
      <c r="I79">
        <v>3.1800519999999999</v>
      </c>
      <c r="J79">
        <v>2.148838</v>
      </c>
      <c r="K79">
        <v>1.716348</v>
      </c>
      <c r="L79">
        <v>3.276745</v>
      </c>
      <c r="M79">
        <v>2.0622829999999999</v>
      </c>
      <c r="N79">
        <v>2.0219450000000001</v>
      </c>
      <c r="O79">
        <v>2.1115330000000001</v>
      </c>
      <c r="P79">
        <v>3.346565</v>
      </c>
      <c r="Q79">
        <v>3.4676309999999999</v>
      </c>
      <c r="R79">
        <v>3.184949</v>
      </c>
      <c r="S79">
        <v>4.1302099999999999</v>
      </c>
      <c r="T79">
        <v>3.3788369999999999</v>
      </c>
      <c r="U79">
        <v>3.5378020000000001</v>
      </c>
      <c r="V79">
        <v>2.018364</v>
      </c>
      <c r="W79">
        <v>2.0657199999999998</v>
      </c>
      <c r="X79">
        <v>2.2059690000000001</v>
      </c>
      <c r="Y79">
        <v>2.3963040000000002</v>
      </c>
      <c r="Z79">
        <v>2.058532</v>
      </c>
      <c r="AA79">
        <v>2.1644709999999998</v>
      </c>
      <c r="AB79" t="str">
        <f>_xlfn.XLOOKUP($A79, DEG!$B:$B, DEG!$E:$E, "not sig")</f>
        <v>not sig</v>
      </c>
      <c r="AC79" t="str">
        <f>IFERROR(VALUE(_xlfn.XLOOKUP($A79, DEG!$B:$B, DEG!$D:$D)), "")</f>
        <v/>
      </c>
    </row>
    <row r="80" spans="1:29" hidden="1" x14ac:dyDescent="0.3">
      <c r="A80" t="s">
        <v>185</v>
      </c>
      <c r="B80" t="s">
        <v>186</v>
      </c>
      <c r="C80" t="s">
        <v>34</v>
      </c>
      <c r="D80">
        <v>10.04866</v>
      </c>
      <c r="E80">
        <v>9.6066590000000005</v>
      </c>
      <c r="F80">
        <v>10.739330000000001</v>
      </c>
      <c r="G80">
        <v>10.78477</v>
      </c>
      <c r="H80">
        <v>10.8179</v>
      </c>
      <c r="I80">
        <v>10.68662</v>
      </c>
      <c r="J80">
        <v>9.8718190000000003</v>
      </c>
      <c r="K80">
        <v>10.494289999999999</v>
      </c>
      <c r="L80">
        <v>10.276199999999999</v>
      </c>
      <c r="M80">
        <v>10.692640000000001</v>
      </c>
      <c r="N80">
        <v>10.10277</v>
      </c>
      <c r="O80">
        <v>10.36589</v>
      </c>
      <c r="P80">
        <v>8.4561240000000009</v>
      </c>
      <c r="Q80">
        <v>8.8377949999999998</v>
      </c>
      <c r="R80">
        <v>9.7697730000000007</v>
      </c>
      <c r="S80">
        <v>10.51399</v>
      </c>
      <c r="T80">
        <v>10.46203</v>
      </c>
      <c r="U80">
        <v>10.092969999999999</v>
      </c>
      <c r="V80">
        <v>9.7649779999999993</v>
      </c>
      <c r="W80">
        <v>9.7519760000000009</v>
      </c>
      <c r="X80">
        <v>10.0528</v>
      </c>
      <c r="Y80">
        <v>9.5337720000000008</v>
      </c>
      <c r="Z80">
        <v>9.2033679999999993</v>
      </c>
      <c r="AA80">
        <v>8.9407010000000007</v>
      </c>
      <c r="AB80" t="str">
        <f>_xlfn.XLOOKUP($A80, DEG!$B:$B, DEG!$E:$E, "not sig")</f>
        <v>not sig</v>
      </c>
      <c r="AC80" t="str">
        <f>IFERROR(VALUE(_xlfn.XLOOKUP($A80, DEG!$B:$B, DEG!$D:$D)), "")</f>
        <v/>
      </c>
    </row>
  </sheetData>
  <autoFilter ref="A1:AC80" xr:uid="{C16CD55B-57D7-49C9-B31D-718C78F193FF}">
    <filterColumn colId="2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EF72-9C86-49A5-A19B-3ACF0D54CDE9}">
  <dimension ref="A1:AC27"/>
  <sheetViews>
    <sheetView tabSelected="1" zoomScaleNormal="100" workbookViewId="0">
      <selection activeCell="AE15" sqref="AE15"/>
    </sheetView>
  </sheetViews>
  <sheetFormatPr defaultRowHeight="14.4" x14ac:dyDescent="0.3"/>
  <cols>
    <col min="28" max="28" width="18" style="2" customWidth="1"/>
  </cols>
  <sheetData>
    <row r="1" spans="1: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2" t="s">
        <v>2963</v>
      </c>
      <c r="AC1" t="s">
        <v>2961</v>
      </c>
    </row>
    <row r="2" spans="1:29" x14ac:dyDescent="0.3">
      <c r="A2" t="s">
        <v>121</v>
      </c>
      <c r="B2" t="s">
        <v>122</v>
      </c>
      <c r="C2" t="s">
        <v>28</v>
      </c>
      <c r="D2">
        <v>3.679001</v>
      </c>
      <c r="E2">
        <v>3.5571199999999998</v>
      </c>
      <c r="F2">
        <v>3.4519030000000002</v>
      </c>
      <c r="G2">
        <v>4.6367120000000002</v>
      </c>
      <c r="H2">
        <v>5.2343099999999998</v>
      </c>
      <c r="I2">
        <v>3.8371019999999998</v>
      </c>
      <c r="J2">
        <v>3.0783209999999999</v>
      </c>
      <c r="K2">
        <v>2.8193700000000002</v>
      </c>
      <c r="L2">
        <v>4.09605</v>
      </c>
      <c r="M2">
        <v>3.6292979999999999</v>
      </c>
      <c r="N2">
        <v>3.1964190000000001</v>
      </c>
      <c r="O2">
        <v>4.3627279999999997</v>
      </c>
      <c r="P2">
        <v>9.9246400000000001</v>
      </c>
      <c r="Q2">
        <v>9.8090119999999992</v>
      </c>
      <c r="R2">
        <v>10.83386</v>
      </c>
      <c r="S2">
        <v>10.82006</v>
      </c>
      <c r="T2">
        <v>11.844329999999999</v>
      </c>
      <c r="U2">
        <v>10.75323</v>
      </c>
      <c r="V2">
        <v>10.83389</v>
      </c>
      <c r="W2">
        <v>10.36143</v>
      </c>
      <c r="X2">
        <v>10.12786</v>
      </c>
      <c r="Y2">
        <v>10.4747</v>
      </c>
      <c r="Z2">
        <v>10.51674</v>
      </c>
      <c r="AA2">
        <v>11.01507</v>
      </c>
      <c r="AB2" s="2">
        <v>5.6757509278875895E-17</v>
      </c>
      <c r="AC2">
        <v>6.8113739999999998</v>
      </c>
    </row>
    <row r="3" spans="1:29" x14ac:dyDescent="0.3">
      <c r="A3" t="s">
        <v>129</v>
      </c>
      <c r="B3" t="s">
        <v>130</v>
      </c>
      <c r="C3" t="s">
        <v>28</v>
      </c>
      <c r="D3">
        <v>3.9659740000000001</v>
      </c>
      <c r="E3">
        <v>3.8643000000000001</v>
      </c>
      <c r="F3">
        <v>3.8013430000000001</v>
      </c>
      <c r="G3">
        <v>5.7361230000000001</v>
      </c>
      <c r="H3">
        <v>5.6950529999999997</v>
      </c>
      <c r="I3">
        <v>4.715109</v>
      </c>
      <c r="J3">
        <v>3.7564649999999999</v>
      </c>
      <c r="K3">
        <v>3.4235989999999998</v>
      </c>
      <c r="L3">
        <v>3.9009269999999998</v>
      </c>
      <c r="M3">
        <v>2.6325440000000002</v>
      </c>
      <c r="N3">
        <v>4.0684839999999998</v>
      </c>
      <c r="O3">
        <v>2.7177699999999998</v>
      </c>
      <c r="P3">
        <v>10.724729999999999</v>
      </c>
      <c r="Q3">
        <v>7.6891860000000003</v>
      </c>
      <c r="R3">
        <v>11.31157</v>
      </c>
      <c r="S3">
        <v>10.048959999999999</v>
      </c>
      <c r="T3">
        <v>11.43754</v>
      </c>
      <c r="U3">
        <v>10.537699999999999</v>
      </c>
      <c r="V3">
        <v>9.3159209999999995</v>
      </c>
      <c r="W3">
        <v>9.8278429999999997</v>
      </c>
      <c r="X3">
        <v>9.8258259999999993</v>
      </c>
      <c r="Y3">
        <v>10.85627</v>
      </c>
      <c r="Z3">
        <v>10.938459999999999</v>
      </c>
      <c r="AA3">
        <v>11.058960000000001</v>
      </c>
      <c r="AB3" s="2">
        <v>1.32865609788276E-12</v>
      </c>
      <c r="AC3">
        <v>6.2746062499999997</v>
      </c>
    </row>
    <row r="4" spans="1:29" x14ac:dyDescent="0.3">
      <c r="A4" t="s">
        <v>123</v>
      </c>
      <c r="B4" t="s">
        <v>124</v>
      </c>
      <c r="C4" t="s">
        <v>28</v>
      </c>
      <c r="D4">
        <v>5.8389949999999997</v>
      </c>
      <c r="E4">
        <v>5.4881770000000003</v>
      </c>
      <c r="F4">
        <v>5.9263599999999999</v>
      </c>
      <c r="G4">
        <v>7.5012800000000004</v>
      </c>
      <c r="H4">
        <v>7.5801220000000002</v>
      </c>
      <c r="I4">
        <v>6.8024009999999997</v>
      </c>
      <c r="J4">
        <v>4.8826080000000003</v>
      </c>
      <c r="K4">
        <v>3.7757489999999998</v>
      </c>
      <c r="L4">
        <v>5.5250779999999997</v>
      </c>
      <c r="M4">
        <v>6.231719</v>
      </c>
      <c r="N4">
        <v>5.5722149999999999</v>
      </c>
      <c r="O4">
        <v>6.622128</v>
      </c>
      <c r="P4">
        <v>10.073270000000001</v>
      </c>
      <c r="Q4">
        <v>9.554214</v>
      </c>
      <c r="R4">
        <v>9.7465150000000005</v>
      </c>
      <c r="S4">
        <v>13.28443</v>
      </c>
      <c r="T4">
        <v>13.03633</v>
      </c>
      <c r="U4">
        <v>13.12473</v>
      </c>
      <c r="V4">
        <v>13.17259</v>
      </c>
      <c r="W4">
        <v>12.91461</v>
      </c>
      <c r="X4">
        <v>12.694520000000001</v>
      </c>
      <c r="Y4">
        <v>12.65202</v>
      </c>
      <c r="Z4">
        <v>12.46869</v>
      </c>
      <c r="AA4">
        <v>10.95783</v>
      </c>
      <c r="AB4" s="2">
        <v>2.4270911478338701E-10</v>
      </c>
      <c r="AC4">
        <v>5.99440975</v>
      </c>
    </row>
    <row r="5" spans="1:29" x14ac:dyDescent="0.3">
      <c r="A5" t="s">
        <v>45</v>
      </c>
      <c r="B5" t="s">
        <v>46</v>
      </c>
      <c r="C5" t="s">
        <v>28</v>
      </c>
      <c r="D5">
        <v>6.1492290000000001</v>
      </c>
      <c r="E5">
        <v>6.2823710000000004</v>
      </c>
      <c r="F5">
        <v>6.732971</v>
      </c>
      <c r="G5">
        <v>6.6572550000000001</v>
      </c>
      <c r="H5">
        <v>6.4582949999999997</v>
      </c>
      <c r="I5">
        <v>6.769838</v>
      </c>
      <c r="J5">
        <v>4.2305619999999999</v>
      </c>
      <c r="K5">
        <v>4.6044900000000002</v>
      </c>
      <c r="L5">
        <v>4.6062450000000004</v>
      </c>
      <c r="M5">
        <v>4.032063</v>
      </c>
      <c r="N5">
        <v>4.0677490000000001</v>
      </c>
      <c r="O5">
        <v>4.2740030000000004</v>
      </c>
      <c r="P5">
        <v>9.6552310000000006</v>
      </c>
      <c r="Q5">
        <v>8.979158</v>
      </c>
      <c r="R5">
        <v>11.120010000000001</v>
      </c>
      <c r="S5">
        <v>11.93572</v>
      </c>
      <c r="T5">
        <v>12.2697</v>
      </c>
      <c r="U5">
        <v>11.810359999999999</v>
      </c>
      <c r="V5">
        <v>11.045400000000001</v>
      </c>
      <c r="W5">
        <v>10.587070000000001</v>
      </c>
      <c r="X5">
        <v>10.5846</v>
      </c>
      <c r="Y5">
        <v>10.614929999999999</v>
      </c>
      <c r="Z5">
        <v>10.84329</v>
      </c>
      <c r="AA5">
        <v>10.172890000000001</v>
      </c>
      <c r="AB5" s="2">
        <v>6.6440097052474894E-11</v>
      </c>
      <c r="AC5">
        <v>5.3961073333333403</v>
      </c>
    </row>
    <row r="6" spans="1:29" x14ac:dyDescent="0.3">
      <c r="A6" t="s">
        <v>127</v>
      </c>
      <c r="B6" t="s">
        <v>128</v>
      </c>
      <c r="C6" t="s">
        <v>28</v>
      </c>
      <c r="D6">
        <v>6.7137450000000003</v>
      </c>
      <c r="E6">
        <v>6.8898409999999997</v>
      </c>
      <c r="F6">
        <v>7.3674799999999996</v>
      </c>
      <c r="G6">
        <v>8.5102010000000003</v>
      </c>
      <c r="H6">
        <v>8.3290410000000001</v>
      </c>
      <c r="I6">
        <v>8.0528490000000001</v>
      </c>
      <c r="J6">
        <v>6.515803</v>
      </c>
      <c r="K6">
        <v>6.9059869999999997</v>
      </c>
      <c r="L6">
        <v>6.4111929999999999</v>
      </c>
      <c r="M6">
        <v>5.8392330000000001</v>
      </c>
      <c r="N6">
        <v>5.7166860000000002</v>
      </c>
      <c r="O6">
        <v>6.1579540000000001</v>
      </c>
      <c r="P6">
        <v>12.273389999999999</v>
      </c>
      <c r="Q6">
        <v>10.282769999999999</v>
      </c>
      <c r="R6">
        <v>13.17854</v>
      </c>
      <c r="S6">
        <v>12.52148</v>
      </c>
      <c r="T6">
        <v>13.31808</v>
      </c>
      <c r="U6">
        <v>12.76634</v>
      </c>
      <c r="V6">
        <v>11.60905</v>
      </c>
      <c r="W6">
        <v>12.01849</v>
      </c>
      <c r="X6">
        <v>12.064920000000001</v>
      </c>
      <c r="Y6">
        <v>12.37312</v>
      </c>
      <c r="Z6">
        <v>12.551130000000001</v>
      </c>
      <c r="AA6">
        <v>12.595409999999999</v>
      </c>
      <c r="AB6" s="2">
        <v>1.8490216310498999E-12</v>
      </c>
      <c r="AC6">
        <v>5.34522558333334</v>
      </c>
    </row>
    <row r="7" spans="1:29" x14ac:dyDescent="0.3">
      <c r="A7" t="s">
        <v>26</v>
      </c>
      <c r="B7" t="s">
        <v>27</v>
      </c>
      <c r="C7" t="s">
        <v>28</v>
      </c>
      <c r="D7">
        <v>3.732863</v>
      </c>
      <c r="E7">
        <v>4.3731429999999998</v>
      </c>
      <c r="F7">
        <v>4.2692019999999999</v>
      </c>
      <c r="G7">
        <v>4.2593160000000001</v>
      </c>
      <c r="H7">
        <v>3.762054</v>
      </c>
      <c r="I7">
        <v>3.3647239999999998</v>
      </c>
      <c r="J7">
        <v>2.2684540000000002</v>
      </c>
      <c r="K7">
        <v>2.6464180000000002</v>
      </c>
      <c r="L7">
        <v>2.3799250000000001</v>
      </c>
      <c r="M7">
        <v>3.3288440000000001</v>
      </c>
      <c r="N7">
        <v>2.4736919999999998</v>
      </c>
      <c r="O7">
        <v>2.4754139999999998</v>
      </c>
      <c r="P7">
        <v>7.3994280000000003</v>
      </c>
      <c r="Q7">
        <v>6.4322540000000004</v>
      </c>
      <c r="R7">
        <v>8.2219920000000002</v>
      </c>
      <c r="S7">
        <v>9.0098979999999997</v>
      </c>
      <c r="T7">
        <v>9.4195259999999994</v>
      </c>
      <c r="U7">
        <v>9.1010639999999992</v>
      </c>
      <c r="V7">
        <v>8.3275369999999995</v>
      </c>
      <c r="W7">
        <v>8.0093899999999998</v>
      </c>
      <c r="X7">
        <v>7.8385059999999998</v>
      </c>
      <c r="Y7">
        <v>7.6432330000000004</v>
      </c>
      <c r="Z7">
        <v>8.1229370000000003</v>
      </c>
      <c r="AA7">
        <v>7.3872010000000001</v>
      </c>
      <c r="AB7" s="2">
        <v>6.2686242521309098E-12</v>
      </c>
      <c r="AC7">
        <v>4.7982430833333298</v>
      </c>
    </row>
    <row r="8" spans="1:29" x14ac:dyDescent="0.3">
      <c r="A8" t="s">
        <v>61</v>
      </c>
      <c r="B8" t="s">
        <v>62</v>
      </c>
      <c r="C8" t="s">
        <v>28</v>
      </c>
      <c r="D8">
        <v>8.0134070000000008</v>
      </c>
      <c r="E8">
        <v>2.9862310000000001</v>
      </c>
      <c r="F8">
        <v>2.9948549999999998</v>
      </c>
      <c r="G8">
        <v>3.6540499999999998</v>
      </c>
      <c r="H8">
        <v>5.0571840000000003</v>
      </c>
      <c r="I8">
        <v>4.7910700000000004</v>
      </c>
      <c r="J8">
        <v>2.3341880000000002</v>
      </c>
      <c r="K8">
        <v>1.884641</v>
      </c>
      <c r="L8">
        <v>1.8719650000000001</v>
      </c>
      <c r="M8">
        <v>2.459886</v>
      </c>
      <c r="N8">
        <v>2.2943760000000002</v>
      </c>
      <c r="O8">
        <v>2.1942759999999999</v>
      </c>
      <c r="P8">
        <v>7.9301690000000002</v>
      </c>
      <c r="Q8">
        <v>9.3280840000000005</v>
      </c>
      <c r="R8">
        <v>8.0563570000000002</v>
      </c>
      <c r="S8">
        <v>5.8386129999999996</v>
      </c>
      <c r="T8">
        <v>6.228478</v>
      </c>
      <c r="U8">
        <v>11.735580000000001</v>
      </c>
      <c r="V8">
        <v>6.3561769999999997</v>
      </c>
      <c r="W8">
        <v>6.0984189999999998</v>
      </c>
      <c r="X8">
        <v>6.5459889999999996</v>
      </c>
      <c r="Y8">
        <v>6.3250229999999998</v>
      </c>
      <c r="Z8">
        <v>6.8895920000000004</v>
      </c>
      <c r="AA8">
        <v>6.3445850000000004</v>
      </c>
      <c r="AB8" s="2">
        <v>7.0613455217998194E-5</v>
      </c>
      <c r="AC8">
        <v>3.9284114166666702</v>
      </c>
    </row>
    <row r="9" spans="1:29" x14ac:dyDescent="0.3">
      <c r="A9" t="s">
        <v>179</v>
      </c>
      <c r="B9" t="s">
        <v>180</v>
      </c>
      <c r="C9" t="s">
        <v>28</v>
      </c>
      <c r="D9">
        <v>3.9629029999999998</v>
      </c>
      <c r="E9">
        <v>4.1450269999999998</v>
      </c>
      <c r="F9">
        <v>4.9209949999999996</v>
      </c>
      <c r="G9">
        <v>6.9024419999999997</v>
      </c>
      <c r="H9">
        <v>6.6854740000000001</v>
      </c>
      <c r="I9">
        <v>6.8695880000000002</v>
      </c>
      <c r="J9">
        <v>5.1984539999999999</v>
      </c>
      <c r="K9">
        <v>4.9063090000000003</v>
      </c>
      <c r="L9">
        <v>5.1310390000000003</v>
      </c>
      <c r="M9">
        <v>5.6496459999999997</v>
      </c>
      <c r="N9">
        <v>3.6764790000000001</v>
      </c>
      <c r="O9">
        <v>4.9553630000000002</v>
      </c>
      <c r="P9">
        <v>6.0122340000000003</v>
      </c>
      <c r="Q9">
        <v>5.8599589999999999</v>
      </c>
      <c r="R9">
        <v>7.0929859999999998</v>
      </c>
      <c r="S9">
        <v>9.4786739999999998</v>
      </c>
      <c r="T9">
        <v>9.9150530000000003</v>
      </c>
      <c r="U9">
        <v>9.3012479999999993</v>
      </c>
      <c r="V9">
        <v>10.034789999999999</v>
      </c>
      <c r="W9">
        <v>9.9644560000000002</v>
      </c>
      <c r="X9">
        <v>9.9259909999999998</v>
      </c>
      <c r="Y9">
        <v>9.7946410000000004</v>
      </c>
      <c r="Z9">
        <v>9.4153950000000002</v>
      </c>
      <c r="AA9">
        <v>8.3549779999999991</v>
      </c>
      <c r="AB9" s="2">
        <v>9.0326815980951297E-6</v>
      </c>
      <c r="AC9">
        <v>3.51222383333333</v>
      </c>
    </row>
    <row r="10" spans="1:29" x14ac:dyDescent="0.3">
      <c r="A10" t="s">
        <v>99</v>
      </c>
      <c r="B10" t="s">
        <v>100</v>
      </c>
      <c r="C10" t="s">
        <v>28</v>
      </c>
      <c r="D10">
        <v>7.1097010000000003</v>
      </c>
      <c r="E10">
        <v>8.0553760000000008</v>
      </c>
      <c r="F10">
        <v>8.3274150000000002</v>
      </c>
      <c r="G10">
        <v>7.6144499999999997</v>
      </c>
      <c r="H10">
        <v>7.6662939999999997</v>
      </c>
      <c r="I10">
        <v>6.9410699999999999</v>
      </c>
      <c r="J10">
        <v>5.9842579999999996</v>
      </c>
      <c r="K10">
        <v>6.6082289999999997</v>
      </c>
      <c r="L10">
        <v>6.0093059999999996</v>
      </c>
      <c r="M10">
        <v>5.98895</v>
      </c>
      <c r="N10">
        <v>6.646306</v>
      </c>
      <c r="O10">
        <v>5.5929779999999996</v>
      </c>
      <c r="P10">
        <v>13.16141</v>
      </c>
      <c r="Q10">
        <v>10.205399999999999</v>
      </c>
      <c r="R10">
        <v>12.684519999999999</v>
      </c>
      <c r="S10">
        <v>11.15447</v>
      </c>
      <c r="T10">
        <v>11.52632</v>
      </c>
      <c r="U10">
        <v>10.55583</v>
      </c>
      <c r="V10">
        <v>7.8026260000000001</v>
      </c>
      <c r="W10">
        <v>8.9092970000000005</v>
      </c>
      <c r="X10">
        <v>9.184215</v>
      </c>
      <c r="Y10">
        <v>9.143141</v>
      </c>
      <c r="Z10">
        <v>9.9229149999999997</v>
      </c>
      <c r="AA10">
        <v>9.5549320000000009</v>
      </c>
      <c r="AB10" s="2">
        <v>6.0334768998896701E-6</v>
      </c>
      <c r="AC10">
        <v>3.4383952500000001</v>
      </c>
    </row>
    <row r="11" spans="1:29" x14ac:dyDescent="0.3">
      <c r="A11" t="s">
        <v>35</v>
      </c>
      <c r="B11" t="s">
        <v>36</v>
      </c>
      <c r="C11" t="s">
        <v>28</v>
      </c>
      <c r="D11">
        <v>5.8192880000000002</v>
      </c>
      <c r="E11">
        <v>5.5184889999999998</v>
      </c>
      <c r="F11">
        <v>7.8225670000000003</v>
      </c>
      <c r="G11">
        <v>6.8147760000000002</v>
      </c>
      <c r="H11">
        <v>6.4344869999999998</v>
      </c>
      <c r="I11">
        <v>6.0039829999999998</v>
      </c>
      <c r="J11">
        <v>3.1670850000000002</v>
      </c>
      <c r="K11">
        <v>2.633038</v>
      </c>
      <c r="L11">
        <v>3.4161619999999999</v>
      </c>
      <c r="M11">
        <v>2.7277979999999999</v>
      </c>
      <c r="N11">
        <v>2.617947</v>
      </c>
      <c r="O11">
        <v>2.9854340000000001</v>
      </c>
      <c r="P11">
        <v>7.1765239999999997</v>
      </c>
      <c r="Q11">
        <v>8.1455559999999991</v>
      </c>
      <c r="R11">
        <v>9.1658950000000008</v>
      </c>
      <c r="S11">
        <v>8.8441480000000006</v>
      </c>
      <c r="T11">
        <v>8.5621030000000005</v>
      </c>
      <c r="U11">
        <v>8.3437459999999994</v>
      </c>
      <c r="V11">
        <v>7.2462309999999999</v>
      </c>
      <c r="W11">
        <v>7.2446950000000001</v>
      </c>
      <c r="X11">
        <v>7.4213889999999996</v>
      </c>
      <c r="Y11">
        <v>7.4915529999999997</v>
      </c>
      <c r="Z11">
        <v>7.3745989999999999</v>
      </c>
      <c r="AA11">
        <v>6.695538</v>
      </c>
      <c r="AB11" s="2">
        <v>1.1606698782631599E-4</v>
      </c>
      <c r="AC11">
        <v>3.14591025</v>
      </c>
    </row>
    <row r="12" spans="1:29" x14ac:dyDescent="0.3">
      <c r="A12" t="s">
        <v>125</v>
      </c>
      <c r="B12" t="s">
        <v>126</v>
      </c>
      <c r="C12" t="s">
        <v>28</v>
      </c>
      <c r="D12">
        <v>7.2190180000000002</v>
      </c>
      <c r="E12">
        <v>7.9440470000000003</v>
      </c>
      <c r="F12">
        <v>7.6355529999999998</v>
      </c>
      <c r="G12">
        <v>8.7700440000000004</v>
      </c>
      <c r="H12">
        <v>8.3968640000000008</v>
      </c>
      <c r="I12">
        <v>7.9313650000000004</v>
      </c>
      <c r="J12">
        <v>6.0923780000000001</v>
      </c>
      <c r="K12">
        <v>6.9225060000000003</v>
      </c>
      <c r="L12">
        <v>6.3856330000000003</v>
      </c>
      <c r="M12">
        <v>6.3011670000000004</v>
      </c>
      <c r="N12">
        <v>6.3383060000000002</v>
      </c>
      <c r="O12">
        <v>6.5769710000000003</v>
      </c>
      <c r="P12">
        <v>7.9186680000000003</v>
      </c>
      <c r="Q12">
        <v>8.9169389999999993</v>
      </c>
      <c r="R12">
        <v>10.804449999999999</v>
      </c>
      <c r="S12">
        <v>11.19346</v>
      </c>
      <c r="T12">
        <v>11.649150000000001</v>
      </c>
      <c r="U12">
        <v>11.34657</v>
      </c>
      <c r="V12">
        <v>10.648289999999999</v>
      </c>
      <c r="W12">
        <v>10.33684</v>
      </c>
      <c r="X12">
        <v>10.220560000000001</v>
      </c>
      <c r="Y12">
        <v>10.216710000000001</v>
      </c>
      <c r="Z12">
        <v>10.14418</v>
      </c>
      <c r="AA12">
        <v>10.01796</v>
      </c>
      <c r="AB12" s="2">
        <v>5.1909525216704905E-7</v>
      </c>
      <c r="AC12">
        <v>3.07499375</v>
      </c>
    </row>
    <row r="13" spans="1:29" x14ac:dyDescent="0.3">
      <c r="A13" t="s">
        <v>101</v>
      </c>
      <c r="B13" t="s">
        <v>102</v>
      </c>
      <c r="C13" t="s">
        <v>28</v>
      </c>
      <c r="D13">
        <v>8.1619820000000001</v>
      </c>
      <c r="E13">
        <v>8.4331399999999999</v>
      </c>
      <c r="F13">
        <v>8.1287640000000003</v>
      </c>
      <c r="G13">
        <v>9.1901329999999994</v>
      </c>
      <c r="H13">
        <v>9.7313120000000009</v>
      </c>
      <c r="I13">
        <v>9.578144</v>
      </c>
      <c r="J13">
        <v>7.8631330000000004</v>
      </c>
      <c r="K13">
        <v>8.6045870000000004</v>
      </c>
      <c r="L13">
        <v>8.1814040000000006</v>
      </c>
      <c r="M13">
        <v>8.3313229999999994</v>
      </c>
      <c r="N13">
        <v>8.1158450000000002</v>
      </c>
      <c r="O13">
        <v>8.304748</v>
      </c>
      <c r="P13">
        <v>8.5717400000000001</v>
      </c>
      <c r="Q13">
        <v>10.42906</v>
      </c>
      <c r="R13">
        <v>10.216089999999999</v>
      </c>
      <c r="S13">
        <v>12.439299999999999</v>
      </c>
      <c r="T13">
        <v>12.297330000000001</v>
      </c>
      <c r="U13">
        <v>12.071580000000001</v>
      </c>
      <c r="V13">
        <v>12.409509999999999</v>
      </c>
      <c r="W13">
        <v>11.619870000000001</v>
      </c>
      <c r="X13">
        <v>11.27422</v>
      </c>
      <c r="Y13">
        <v>11.393969999999999</v>
      </c>
      <c r="Z13">
        <v>11.229570000000001</v>
      </c>
      <c r="AA13">
        <v>10.741400000000001</v>
      </c>
      <c r="AB13" s="2">
        <v>1.6207585415197101E-6</v>
      </c>
      <c r="AC13">
        <v>2.6724270833333299</v>
      </c>
    </row>
    <row r="14" spans="1:29" x14ac:dyDescent="0.3">
      <c r="A14" t="s">
        <v>51</v>
      </c>
      <c r="B14" t="s">
        <v>52</v>
      </c>
      <c r="C14" t="s">
        <v>28</v>
      </c>
      <c r="D14">
        <v>7.1460869999999996</v>
      </c>
      <c r="E14">
        <v>6.7370739999999998</v>
      </c>
      <c r="F14">
        <v>7.0007020000000004</v>
      </c>
      <c r="G14">
        <v>6.4975560000000003</v>
      </c>
      <c r="H14">
        <v>6.3495030000000003</v>
      </c>
      <c r="I14">
        <v>7.2590570000000003</v>
      </c>
      <c r="J14">
        <v>6.2077879999999999</v>
      </c>
      <c r="K14">
        <v>6.3057949999999998</v>
      </c>
      <c r="L14">
        <v>6.1531010000000004</v>
      </c>
      <c r="M14">
        <v>5.4330759999999998</v>
      </c>
      <c r="N14">
        <v>5.9054549999999999</v>
      </c>
      <c r="O14">
        <v>5.8946730000000001</v>
      </c>
      <c r="P14">
        <v>10.284380000000001</v>
      </c>
      <c r="Q14">
        <v>9.6749790000000004</v>
      </c>
      <c r="R14">
        <v>10.037599999999999</v>
      </c>
      <c r="S14">
        <v>9.2936890000000005</v>
      </c>
      <c r="T14">
        <v>9.2737010000000009</v>
      </c>
      <c r="U14">
        <v>8.8448639999999994</v>
      </c>
      <c r="V14">
        <v>7.9448819999999998</v>
      </c>
      <c r="W14">
        <v>8.7795330000000007</v>
      </c>
      <c r="X14">
        <v>8.4376479999999994</v>
      </c>
      <c r="Y14">
        <v>8.0375809999999994</v>
      </c>
      <c r="Z14">
        <v>8.9660650000000004</v>
      </c>
      <c r="AA14">
        <v>7.9409239999999999</v>
      </c>
      <c r="AB14" s="2">
        <v>4.5094112781941399E-8</v>
      </c>
      <c r="AC14">
        <v>2.55216491666667</v>
      </c>
    </row>
    <row r="15" spans="1:29" x14ac:dyDescent="0.3">
      <c r="A15" t="s">
        <v>63</v>
      </c>
      <c r="B15" t="s">
        <v>64</v>
      </c>
      <c r="C15" t="s">
        <v>28</v>
      </c>
      <c r="D15">
        <v>3.6401279999999998</v>
      </c>
      <c r="E15">
        <v>3.7726289999999998</v>
      </c>
      <c r="F15">
        <v>3.8080940000000001</v>
      </c>
      <c r="G15">
        <v>4.0067009999999996</v>
      </c>
      <c r="H15">
        <v>3.8339259999999999</v>
      </c>
      <c r="I15">
        <v>4.749282</v>
      </c>
      <c r="J15">
        <v>2.1888320000000001</v>
      </c>
      <c r="K15">
        <v>3.458596</v>
      </c>
      <c r="L15">
        <v>2.3068029999999999</v>
      </c>
      <c r="M15">
        <v>2.0670730000000002</v>
      </c>
      <c r="N15">
        <v>2.0929690000000001</v>
      </c>
      <c r="O15">
        <v>2.8908330000000002</v>
      </c>
      <c r="P15">
        <v>5.0165259999999998</v>
      </c>
      <c r="Q15">
        <v>3.6733479999999998</v>
      </c>
      <c r="R15">
        <v>5.5967929999999999</v>
      </c>
      <c r="S15">
        <v>6.2793060000000001</v>
      </c>
      <c r="T15">
        <v>7.5445349999999998</v>
      </c>
      <c r="U15">
        <v>6.7606780000000004</v>
      </c>
      <c r="V15">
        <v>5.9888209999999997</v>
      </c>
      <c r="W15">
        <v>5.3723919999999996</v>
      </c>
      <c r="X15">
        <v>6.0349250000000003</v>
      </c>
      <c r="Y15">
        <v>5.6076569999999997</v>
      </c>
      <c r="Z15">
        <v>6.1253339999999996</v>
      </c>
      <c r="AA15">
        <v>4.5557049999999997</v>
      </c>
      <c r="AB15" s="2">
        <v>1.1802497234126E-5</v>
      </c>
      <c r="AC15">
        <v>2.47834616666667</v>
      </c>
    </row>
    <row r="16" spans="1:29" x14ac:dyDescent="0.3">
      <c r="A16" t="s">
        <v>47</v>
      </c>
      <c r="B16" t="s">
        <v>48</v>
      </c>
      <c r="C16" t="s">
        <v>28</v>
      </c>
      <c r="D16">
        <v>8.8400649999999992</v>
      </c>
      <c r="E16">
        <v>8.9952880000000004</v>
      </c>
      <c r="F16">
        <v>9.4457819999999995</v>
      </c>
      <c r="G16">
        <v>10.25103</v>
      </c>
      <c r="H16">
        <v>10.37505</v>
      </c>
      <c r="I16">
        <v>10.09609</v>
      </c>
      <c r="J16">
        <v>9.3917059999999992</v>
      </c>
      <c r="K16">
        <v>9.0929970000000004</v>
      </c>
      <c r="L16">
        <v>9.3744340000000008</v>
      </c>
      <c r="M16">
        <v>9.6089880000000001</v>
      </c>
      <c r="N16">
        <v>8.8937229999999996</v>
      </c>
      <c r="O16">
        <v>9.1470800000000008</v>
      </c>
      <c r="P16">
        <v>10.93094</v>
      </c>
      <c r="Q16">
        <v>11.347619999999999</v>
      </c>
      <c r="R16">
        <v>11.76468</v>
      </c>
      <c r="S16">
        <v>12.13871</v>
      </c>
      <c r="T16">
        <v>12.135350000000001</v>
      </c>
      <c r="U16">
        <v>12.412369999999999</v>
      </c>
      <c r="V16">
        <v>11.521509999999999</v>
      </c>
      <c r="W16">
        <v>11.16835</v>
      </c>
      <c r="X16">
        <v>11.406980000000001</v>
      </c>
      <c r="Y16">
        <v>11.72409</v>
      </c>
      <c r="Z16">
        <v>11.77772</v>
      </c>
      <c r="AA16">
        <v>11.03046</v>
      </c>
      <c r="AB16" s="2">
        <v>8.2099993118466493E-9</v>
      </c>
      <c r="AC16">
        <v>2.1538789166666699</v>
      </c>
    </row>
    <row r="17" spans="1:29" x14ac:dyDescent="0.3">
      <c r="A17" t="s">
        <v>119</v>
      </c>
      <c r="B17" t="s">
        <v>120</v>
      </c>
      <c r="C17" t="s">
        <v>28</v>
      </c>
      <c r="D17">
        <v>4.1777410000000001</v>
      </c>
      <c r="E17">
        <v>4.3937850000000003</v>
      </c>
      <c r="F17">
        <v>5.4663279999999999</v>
      </c>
      <c r="G17">
        <v>6.202928</v>
      </c>
      <c r="H17">
        <v>6.8327249999999999</v>
      </c>
      <c r="I17">
        <v>5.2609389999999996</v>
      </c>
      <c r="J17">
        <v>2.8129019999999998</v>
      </c>
      <c r="K17">
        <v>4.5419169999999998</v>
      </c>
      <c r="L17">
        <v>5.016375</v>
      </c>
      <c r="M17">
        <v>4.8168519999999999</v>
      </c>
      <c r="N17">
        <v>4.3957560000000004</v>
      </c>
      <c r="O17">
        <v>4.8188820000000003</v>
      </c>
      <c r="P17">
        <v>5.7310189999999999</v>
      </c>
      <c r="Q17">
        <v>5.6752380000000002</v>
      </c>
      <c r="R17">
        <v>6.6804600000000001</v>
      </c>
      <c r="S17">
        <v>8.4238959999999992</v>
      </c>
      <c r="T17">
        <v>8.5012589999999992</v>
      </c>
      <c r="U17">
        <v>8.2821540000000002</v>
      </c>
      <c r="V17">
        <v>7.1624949999999998</v>
      </c>
      <c r="W17">
        <v>7.1366620000000003</v>
      </c>
      <c r="X17">
        <v>7.0039730000000002</v>
      </c>
      <c r="Y17">
        <v>6.95296</v>
      </c>
      <c r="Z17">
        <v>6.7648630000000001</v>
      </c>
      <c r="AA17">
        <v>6.1592419999999999</v>
      </c>
      <c r="AB17" s="2">
        <v>1.3552651990125401E-4</v>
      </c>
      <c r="AC17">
        <v>2.1447575833333299</v>
      </c>
    </row>
    <row r="18" spans="1:29" x14ac:dyDescent="0.3">
      <c r="A18" t="s">
        <v>137</v>
      </c>
      <c r="B18" t="s">
        <v>138</v>
      </c>
      <c r="C18" t="s">
        <v>28</v>
      </c>
      <c r="D18">
        <v>3.3896639999999998</v>
      </c>
      <c r="E18">
        <v>3.1620560000000002</v>
      </c>
      <c r="F18">
        <v>3.0874450000000002</v>
      </c>
      <c r="G18">
        <v>4.4819209999999998</v>
      </c>
      <c r="H18">
        <v>4.7089230000000004</v>
      </c>
      <c r="I18">
        <v>4.7743190000000002</v>
      </c>
      <c r="J18">
        <v>3.8644980000000002</v>
      </c>
      <c r="K18">
        <v>3.7973910000000002</v>
      </c>
      <c r="L18">
        <v>4.0727900000000004</v>
      </c>
      <c r="M18">
        <v>5.2962980000000002</v>
      </c>
      <c r="N18">
        <v>3.1338720000000002</v>
      </c>
      <c r="O18">
        <v>3.8642820000000002</v>
      </c>
      <c r="P18">
        <v>4.8849049999999998</v>
      </c>
      <c r="Q18">
        <v>5.2089429999999997</v>
      </c>
      <c r="R18">
        <v>6.6771440000000002</v>
      </c>
      <c r="S18">
        <v>6.8989830000000003</v>
      </c>
      <c r="T18">
        <v>6.5873999999999997</v>
      </c>
      <c r="U18">
        <v>7.1687149999999997</v>
      </c>
      <c r="V18">
        <v>5.9311590000000001</v>
      </c>
      <c r="W18">
        <v>5.7700300000000002</v>
      </c>
      <c r="X18">
        <v>6.1755440000000004</v>
      </c>
      <c r="Y18">
        <v>6.0217700000000001</v>
      </c>
      <c r="Z18">
        <v>6.0417620000000003</v>
      </c>
      <c r="AA18">
        <v>5.4451010000000002</v>
      </c>
      <c r="AB18" s="2">
        <v>2.1649651461023102E-6</v>
      </c>
      <c r="AC18">
        <v>2.09816641666667</v>
      </c>
    </row>
    <row r="19" spans="1:29" x14ac:dyDescent="0.3">
      <c r="A19" t="s">
        <v>91</v>
      </c>
      <c r="B19" t="s">
        <v>92</v>
      </c>
      <c r="C19" t="s">
        <v>28</v>
      </c>
      <c r="D19">
        <v>3.7633930000000002</v>
      </c>
      <c r="E19">
        <v>4.4191839999999996</v>
      </c>
      <c r="F19">
        <v>4.7263080000000004</v>
      </c>
      <c r="G19">
        <v>4.7575269999999996</v>
      </c>
      <c r="H19">
        <v>5.4700519999999999</v>
      </c>
      <c r="I19">
        <v>3.6586249999999998</v>
      </c>
      <c r="J19">
        <v>4.4960620000000002</v>
      </c>
      <c r="K19">
        <v>3.7742100000000001</v>
      </c>
      <c r="L19">
        <v>4.7220279999999999</v>
      </c>
      <c r="M19">
        <v>4.5794280000000001</v>
      </c>
      <c r="N19">
        <v>3.6181549999999998</v>
      </c>
      <c r="O19">
        <v>4.4359739999999999</v>
      </c>
      <c r="P19">
        <v>6.3488689999999997</v>
      </c>
      <c r="Q19">
        <v>5.4803360000000003</v>
      </c>
      <c r="R19">
        <v>6.6960150000000001</v>
      </c>
      <c r="S19">
        <v>6.8371940000000002</v>
      </c>
      <c r="T19">
        <v>6.7035020000000003</v>
      </c>
      <c r="U19">
        <v>6.8430169999999997</v>
      </c>
      <c r="V19">
        <v>6.2931280000000003</v>
      </c>
      <c r="W19">
        <v>6.317596</v>
      </c>
      <c r="X19">
        <v>6.4465339999999998</v>
      </c>
      <c r="Y19">
        <v>5.9281550000000003</v>
      </c>
      <c r="Z19">
        <v>6.9379280000000003</v>
      </c>
      <c r="AA19">
        <v>6.3631320000000002</v>
      </c>
      <c r="AB19" s="2">
        <v>1.7274806958295501E-8</v>
      </c>
      <c r="AC19">
        <v>2.0645383333333398</v>
      </c>
    </row>
    <row r="20" spans="1:29" x14ac:dyDescent="0.3">
      <c r="A20" t="s">
        <v>69</v>
      </c>
      <c r="B20" t="s">
        <v>70</v>
      </c>
      <c r="C20" t="s">
        <v>28</v>
      </c>
      <c r="D20">
        <v>3.4502299999999999</v>
      </c>
      <c r="E20">
        <v>3.5749369999999998</v>
      </c>
      <c r="F20">
        <v>3.6106910000000001</v>
      </c>
      <c r="G20">
        <v>3.1745999999999999</v>
      </c>
      <c r="H20">
        <v>2.9471289999999999</v>
      </c>
      <c r="I20">
        <v>3.215967</v>
      </c>
      <c r="J20">
        <v>2.9460950000000001</v>
      </c>
      <c r="K20">
        <v>2.8024879999999999</v>
      </c>
      <c r="L20">
        <v>2.6257679999999999</v>
      </c>
      <c r="M20">
        <v>2.9826359999999998</v>
      </c>
      <c r="N20">
        <v>3.2701259999999999</v>
      </c>
      <c r="O20">
        <v>2.3160560000000001</v>
      </c>
      <c r="P20">
        <v>6.5771269999999999</v>
      </c>
      <c r="Q20">
        <v>4.5673329999999996</v>
      </c>
      <c r="R20">
        <v>6.3413490000000001</v>
      </c>
      <c r="S20">
        <v>4.3150599999999999</v>
      </c>
      <c r="T20">
        <v>6.3309369999999996</v>
      </c>
      <c r="U20">
        <v>4.8356830000000004</v>
      </c>
      <c r="V20">
        <v>3.2606600000000001</v>
      </c>
      <c r="W20">
        <v>3.4949970000000001</v>
      </c>
      <c r="X20">
        <v>4.6093380000000002</v>
      </c>
      <c r="Y20">
        <v>5.0839749999999997</v>
      </c>
      <c r="Z20">
        <v>4.8717439999999996</v>
      </c>
      <c r="AA20">
        <v>5.4825689999999998</v>
      </c>
      <c r="AB20" s="2">
        <v>4.8433661412320402E-5</v>
      </c>
      <c r="AC20">
        <v>1.90450408333333</v>
      </c>
    </row>
    <row r="21" spans="1:29" x14ac:dyDescent="0.3">
      <c r="A21" t="s">
        <v>149</v>
      </c>
      <c r="B21" t="s">
        <v>150</v>
      </c>
      <c r="C21" t="s">
        <v>28</v>
      </c>
      <c r="D21">
        <v>4.9051470000000004</v>
      </c>
      <c r="E21">
        <v>4.0514979999999996</v>
      </c>
      <c r="F21">
        <v>4.6036210000000004</v>
      </c>
      <c r="G21">
        <v>6.2535410000000002</v>
      </c>
      <c r="H21">
        <v>5.772519</v>
      </c>
      <c r="I21">
        <v>6.2152690000000002</v>
      </c>
      <c r="J21">
        <v>4.3547099999999999</v>
      </c>
      <c r="K21">
        <v>5.1587269999999998</v>
      </c>
      <c r="L21">
        <v>4.5972530000000003</v>
      </c>
      <c r="M21">
        <v>3.0706099999999998</v>
      </c>
      <c r="N21">
        <v>5.2326750000000004</v>
      </c>
      <c r="O21">
        <v>4.3951089999999997</v>
      </c>
      <c r="P21">
        <v>7.7217640000000003</v>
      </c>
      <c r="Q21">
        <v>6.567037</v>
      </c>
      <c r="R21">
        <v>7.3168920000000002</v>
      </c>
      <c r="S21">
        <v>6.7134010000000002</v>
      </c>
      <c r="T21">
        <v>7.224926</v>
      </c>
      <c r="U21">
        <v>7.249854</v>
      </c>
      <c r="V21">
        <v>5.341863</v>
      </c>
      <c r="W21">
        <v>6.3410529999999996</v>
      </c>
      <c r="X21">
        <v>6.2282710000000003</v>
      </c>
      <c r="Y21">
        <v>6.0641179999999997</v>
      </c>
      <c r="Z21">
        <v>6.8374980000000001</v>
      </c>
      <c r="AA21">
        <v>6.2105249999999996</v>
      </c>
      <c r="AB21" s="2">
        <v>1.3275742718582101E-4</v>
      </c>
      <c r="AC21">
        <v>1.76721025</v>
      </c>
    </row>
    <row r="22" spans="1:29" x14ac:dyDescent="0.3">
      <c r="A22" t="s">
        <v>43</v>
      </c>
      <c r="B22" t="s">
        <v>44</v>
      </c>
      <c r="C22" t="s">
        <v>28</v>
      </c>
      <c r="D22">
        <v>5.6522059999999996</v>
      </c>
      <c r="E22">
        <v>5.348725</v>
      </c>
      <c r="F22">
        <v>5.8882849999999998</v>
      </c>
      <c r="G22">
        <v>6.5729350000000002</v>
      </c>
      <c r="H22">
        <v>7.0730839999999997</v>
      </c>
      <c r="I22">
        <v>6.7313489999999998</v>
      </c>
      <c r="J22">
        <v>5.6688789999999996</v>
      </c>
      <c r="K22">
        <v>4.7557289999999997</v>
      </c>
      <c r="L22">
        <v>5.6407639999999999</v>
      </c>
      <c r="M22">
        <v>6.1333479999999998</v>
      </c>
      <c r="N22">
        <v>5.1070390000000003</v>
      </c>
      <c r="O22">
        <v>5.5280610000000001</v>
      </c>
      <c r="P22">
        <v>7.965382</v>
      </c>
      <c r="Q22">
        <v>7.8948799999999997</v>
      </c>
      <c r="R22">
        <v>8.8468260000000001</v>
      </c>
      <c r="S22">
        <v>7.9119479999999998</v>
      </c>
      <c r="T22">
        <v>7.6768369999999999</v>
      </c>
      <c r="U22">
        <v>8.6760370000000009</v>
      </c>
      <c r="V22">
        <v>6.0430169999999999</v>
      </c>
      <c r="W22">
        <v>6.2646439999999997</v>
      </c>
      <c r="X22">
        <v>6.771884</v>
      </c>
      <c r="Y22">
        <v>6.78817</v>
      </c>
      <c r="Z22">
        <v>7.538805</v>
      </c>
      <c r="AA22">
        <v>6.3919119999999996</v>
      </c>
      <c r="AB22" s="2">
        <v>7.0304818900713704E-4</v>
      </c>
      <c r="AC22">
        <v>1.55582816666667</v>
      </c>
    </row>
    <row r="23" spans="1:29" x14ac:dyDescent="0.3">
      <c r="A23" t="s">
        <v>167</v>
      </c>
      <c r="B23" t="s">
        <v>168</v>
      </c>
      <c r="C23" t="s">
        <v>28</v>
      </c>
      <c r="D23">
        <v>3.8191030000000001</v>
      </c>
      <c r="E23">
        <v>3.9464779999999999</v>
      </c>
      <c r="F23">
        <v>2.7357420000000001</v>
      </c>
      <c r="G23">
        <v>3.84</v>
      </c>
      <c r="H23">
        <v>3.2212100000000001</v>
      </c>
      <c r="I23">
        <v>4.0099179999999999</v>
      </c>
      <c r="J23">
        <v>2.2215289999999999</v>
      </c>
      <c r="K23">
        <v>2.8723230000000002</v>
      </c>
      <c r="L23">
        <v>2.8014990000000002</v>
      </c>
      <c r="M23">
        <v>2.5889519999999999</v>
      </c>
      <c r="N23">
        <v>2.6857760000000002</v>
      </c>
      <c r="O23">
        <v>2.7611789999999998</v>
      </c>
      <c r="P23">
        <v>6.8234969999999997</v>
      </c>
      <c r="Q23">
        <v>4.243563</v>
      </c>
      <c r="R23">
        <v>5.8966750000000001</v>
      </c>
      <c r="S23">
        <v>4.7937729999999998</v>
      </c>
      <c r="T23">
        <v>5.9481099999999998</v>
      </c>
      <c r="U23">
        <v>4.9442950000000003</v>
      </c>
      <c r="V23">
        <v>3.0817380000000001</v>
      </c>
      <c r="W23">
        <v>3.8575590000000002</v>
      </c>
      <c r="X23">
        <v>4.0153660000000002</v>
      </c>
      <c r="Y23">
        <v>4.0115080000000001</v>
      </c>
      <c r="Z23">
        <v>4.0372279999999998</v>
      </c>
      <c r="AA23">
        <v>3.437789</v>
      </c>
      <c r="AB23" s="2">
        <v>3.3840677797235901E-3</v>
      </c>
      <c r="AC23">
        <v>1.465616</v>
      </c>
    </row>
    <row r="24" spans="1:29" x14ac:dyDescent="0.3">
      <c r="A24" t="s">
        <v>109</v>
      </c>
      <c r="B24" t="s">
        <v>110</v>
      </c>
      <c r="C24" t="s">
        <v>28</v>
      </c>
      <c r="D24">
        <v>5.4743830000000004</v>
      </c>
      <c r="E24">
        <v>5.8007559999999998</v>
      </c>
      <c r="F24">
        <v>5.0472289999999997</v>
      </c>
      <c r="G24">
        <v>5.8028000000000004</v>
      </c>
      <c r="H24">
        <v>6.6871530000000003</v>
      </c>
      <c r="I24">
        <v>6.3667040000000004</v>
      </c>
      <c r="J24">
        <v>4.4921350000000002</v>
      </c>
      <c r="K24">
        <v>5.1813039999999999</v>
      </c>
      <c r="L24">
        <v>5.3912680000000002</v>
      </c>
      <c r="M24">
        <v>5.3552280000000003</v>
      </c>
      <c r="N24">
        <v>5.1252250000000004</v>
      </c>
      <c r="O24">
        <v>5.990386</v>
      </c>
      <c r="P24">
        <v>5.9399230000000003</v>
      </c>
      <c r="Q24">
        <v>6.3220489999999998</v>
      </c>
      <c r="R24">
        <v>6.6425299999999998</v>
      </c>
      <c r="S24">
        <v>7.7923650000000002</v>
      </c>
      <c r="T24">
        <v>8.1486040000000006</v>
      </c>
      <c r="U24">
        <v>7.9396719999999998</v>
      </c>
      <c r="V24">
        <v>7.4783629999999999</v>
      </c>
      <c r="W24">
        <v>6.946161</v>
      </c>
      <c r="X24">
        <v>6.5681450000000003</v>
      </c>
      <c r="Y24">
        <v>6.6743240000000004</v>
      </c>
      <c r="Z24">
        <v>6.567869</v>
      </c>
      <c r="AA24">
        <v>6.6279459999999997</v>
      </c>
      <c r="AB24" s="2">
        <v>2.28059849219856E-4</v>
      </c>
      <c r="AC24">
        <v>1.4111149999999999</v>
      </c>
    </row>
    <row r="25" spans="1:29" x14ac:dyDescent="0.3">
      <c r="A25" t="s">
        <v>107</v>
      </c>
      <c r="B25" t="s">
        <v>108</v>
      </c>
      <c r="C25" t="s">
        <v>28</v>
      </c>
      <c r="D25">
        <v>5.8003960000000001</v>
      </c>
      <c r="E25">
        <v>5.6407299999999996</v>
      </c>
      <c r="F25">
        <v>6.0703839999999998</v>
      </c>
      <c r="G25">
        <v>6.8699300000000001</v>
      </c>
      <c r="H25">
        <v>6.7011310000000002</v>
      </c>
      <c r="I25">
        <v>6.7141019999999996</v>
      </c>
      <c r="J25">
        <v>7.7360309999999997</v>
      </c>
      <c r="K25">
        <v>8.0066170000000003</v>
      </c>
      <c r="L25">
        <v>7.8237449999999997</v>
      </c>
      <c r="M25">
        <v>7.8087059999999999</v>
      </c>
      <c r="N25">
        <v>7.1137819999999996</v>
      </c>
      <c r="O25">
        <v>7.3903160000000003</v>
      </c>
      <c r="P25">
        <v>8.0564260000000001</v>
      </c>
      <c r="Q25">
        <v>7.3411499999999998</v>
      </c>
      <c r="R25">
        <v>8.1140939999999997</v>
      </c>
      <c r="S25">
        <v>7.5728340000000003</v>
      </c>
      <c r="T25">
        <v>7.6915009999999997</v>
      </c>
      <c r="U25">
        <v>7.8403520000000002</v>
      </c>
      <c r="V25">
        <v>8.0303970000000007</v>
      </c>
      <c r="W25">
        <v>8.5593710000000005</v>
      </c>
      <c r="X25">
        <v>8.707827</v>
      </c>
      <c r="Y25">
        <v>8.9958159999999996</v>
      </c>
      <c r="Z25">
        <v>9.4151939999999996</v>
      </c>
      <c r="AA25">
        <v>9.4453250000000004</v>
      </c>
      <c r="AB25" s="2">
        <v>1.7670505900860599E-3</v>
      </c>
      <c r="AC25">
        <v>1.3412014166666699</v>
      </c>
    </row>
    <row r="26" spans="1:29" x14ac:dyDescent="0.3">
      <c r="A26" t="s">
        <v>83</v>
      </c>
      <c r="B26" t="s">
        <v>84</v>
      </c>
      <c r="C26" t="s">
        <v>28</v>
      </c>
      <c r="D26">
        <v>2.823048</v>
      </c>
      <c r="E26">
        <v>3.5893839999999999</v>
      </c>
      <c r="F26">
        <v>3.4956839999999998</v>
      </c>
      <c r="G26">
        <v>3.51118</v>
      </c>
      <c r="H26">
        <v>3.6668980000000002</v>
      </c>
      <c r="I26">
        <v>3.6091030000000002</v>
      </c>
      <c r="J26">
        <v>1.8353189999999999</v>
      </c>
      <c r="K26">
        <v>2.4993409999999998</v>
      </c>
      <c r="L26">
        <v>2.6233059999999999</v>
      </c>
      <c r="M26">
        <v>2.5704289999999999</v>
      </c>
      <c r="N26">
        <v>2.5746869999999999</v>
      </c>
      <c r="O26">
        <v>2.2117559999999998</v>
      </c>
      <c r="P26">
        <v>3.6732610000000001</v>
      </c>
      <c r="Q26">
        <v>2.5578050000000001</v>
      </c>
      <c r="R26">
        <v>2.8519549999999998</v>
      </c>
      <c r="S26">
        <v>5.6736880000000003</v>
      </c>
      <c r="T26">
        <v>5.2296639999999996</v>
      </c>
      <c r="U26">
        <v>5.1594850000000001</v>
      </c>
      <c r="V26">
        <v>4.0309270000000001</v>
      </c>
      <c r="W26">
        <v>4.7773219999999998</v>
      </c>
      <c r="X26">
        <v>3.6864539999999999</v>
      </c>
      <c r="Y26">
        <v>4.0124219999999999</v>
      </c>
      <c r="Z26">
        <v>3.7031740000000002</v>
      </c>
      <c r="AA26">
        <v>2.6518109999999999</v>
      </c>
      <c r="AB26" s="2">
        <v>2.32376992544314E-2</v>
      </c>
      <c r="AC26">
        <v>1.08315275</v>
      </c>
    </row>
    <row r="27" spans="1:29" x14ac:dyDescent="0.3">
      <c r="A27" t="s">
        <v>139</v>
      </c>
      <c r="B27" t="s">
        <v>140</v>
      </c>
      <c r="C27" t="s">
        <v>28</v>
      </c>
      <c r="D27">
        <v>7.6277239999999997</v>
      </c>
      <c r="E27">
        <v>7.6222940000000001</v>
      </c>
      <c r="F27">
        <v>7.6700670000000004</v>
      </c>
      <c r="G27">
        <v>7.7408070000000002</v>
      </c>
      <c r="H27">
        <v>7.4220269999999999</v>
      </c>
      <c r="I27">
        <v>7.752008</v>
      </c>
      <c r="J27">
        <v>6.681165</v>
      </c>
      <c r="K27">
        <v>7.0419539999999996</v>
      </c>
      <c r="L27">
        <v>6.548813</v>
      </c>
      <c r="M27">
        <v>6.7972210000000004</v>
      </c>
      <c r="N27">
        <v>6.9313520000000004</v>
      </c>
      <c r="O27">
        <v>7.1458180000000002</v>
      </c>
      <c r="P27">
        <v>6.8410690000000001</v>
      </c>
      <c r="Q27">
        <v>8.5295079999999999</v>
      </c>
      <c r="R27">
        <v>8.0855949999999996</v>
      </c>
      <c r="S27">
        <v>8.4446919999999999</v>
      </c>
      <c r="T27">
        <v>8.8127420000000001</v>
      </c>
      <c r="U27">
        <v>8.4663170000000001</v>
      </c>
      <c r="V27">
        <v>8.8265630000000002</v>
      </c>
      <c r="W27">
        <v>8.2251320000000003</v>
      </c>
      <c r="X27">
        <v>7.9275719999999996</v>
      </c>
      <c r="Y27">
        <v>8.3971160000000005</v>
      </c>
      <c r="Z27">
        <v>8.1830979999999993</v>
      </c>
      <c r="AA27">
        <v>8.7054240000000007</v>
      </c>
      <c r="AB27" s="2">
        <v>5.1391863059161596E-4</v>
      </c>
      <c r="AC27">
        <v>1.0386314999999999</v>
      </c>
    </row>
  </sheetData>
  <sortState xmlns:xlrd2="http://schemas.microsoft.com/office/spreadsheetml/2017/richdata2" ref="A2:AC27">
    <sortCondition descending="1" ref="AC2:A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Viral_protein_interaction_with_</vt:lpstr>
      <vt:lpstr>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Denby-Lee</dc:creator>
  <cp:lastModifiedBy>Theo Denby-Lee</cp:lastModifiedBy>
  <dcterms:created xsi:type="dcterms:W3CDTF">2026-09-28T19:13:13Z</dcterms:created>
  <dcterms:modified xsi:type="dcterms:W3CDTF">2026-09-28T19:13:13Z</dcterms:modified>
</cp:coreProperties>
</file>